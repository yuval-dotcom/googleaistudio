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legtal/Desktop/"/>
    </mc:Choice>
  </mc:AlternateContent>
  <xr:revisionPtr revIDLastSave="0" documentId="13_ncr:1_{034CA82B-5C8C-4149-B07B-0272BBB4A3A8}" xr6:coauthVersionLast="47" xr6:coauthVersionMax="47" xr10:uidLastSave="{00000000-0000-0000-0000-000000000000}"/>
  <bookViews>
    <workbookView xWindow="0" yWindow="500" windowWidth="33600" windowHeight="18900" xr2:uid="{D3033D5D-C664-CA41-A4C1-EC9E07078743}"/>
  </bookViews>
  <sheets>
    <sheet name="נכסים מאוחד (2)" sheetId="11" r:id="rId1"/>
    <sheet name="נכסים מאוחד" sheetId="10" r:id="rId2"/>
    <sheet name="נכסים קרן טל" sheetId="6" r:id="rId3"/>
    <sheet name="נכסים יורם וטליה פרטי" sheetId="1" r:id="rId4"/>
    <sheet name="הכנסות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1" i="11" l="1"/>
  <c r="P48" i="11"/>
  <c r="K40" i="11"/>
  <c r="F40" i="11"/>
  <c r="E40" i="11"/>
  <c r="L39" i="11"/>
  <c r="J39" i="11"/>
  <c r="N39" i="11" s="1"/>
  <c r="I39" i="11"/>
  <c r="M39" i="11" s="1"/>
  <c r="N38" i="11"/>
  <c r="L38" i="11"/>
  <c r="J38" i="11"/>
  <c r="I38" i="11"/>
  <c r="M38" i="11" s="1"/>
  <c r="M37" i="11"/>
  <c r="L37" i="11"/>
  <c r="J37" i="11"/>
  <c r="N37" i="11" s="1"/>
  <c r="I37" i="11"/>
  <c r="G37" i="11"/>
  <c r="L36" i="11"/>
  <c r="L40" i="11" s="1"/>
  <c r="J36" i="11"/>
  <c r="N36" i="11" s="1"/>
  <c r="N40" i="11" s="1"/>
  <c r="I36" i="11"/>
  <c r="M36" i="11" s="1"/>
  <c r="M40" i="11" s="1"/>
  <c r="G36" i="11"/>
  <c r="G40" i="11" s="1"/>
  <c r="K35" i="11"/>
  <c r="I35" i="11"/>
  <c r="G35" i="11"/>
  <c r="F35" i="11"/>
  <c r="E35" i="11"/>
  <c r="L34" i="11"/>
  <c r="J34" i="11"/>
  <c r="J35" i="11" s="1"/>
  <c r="I34" i="11"/>
  <c r="M34" i="11" s="1"/>
  <c r="N33" i="11"/>
  <c r="M33" i="11"/>
  <c r="L33" i="11"/>
  <c r="J33" i="11"/>
  <c r="I33" i="11"/>
  <c r="L32" i="11"/>
  <c r="L35" i="11" s="1"/>
  <c r="J32" i="11"/>
  <c r="N32" i="11" s="1"/>
  <c r="I32" i="11"/>
  <c r="M32" i="11" s="1"/>
  <c r="M31" i="11"/>
  <c r="J31" i="11"/>
  <c r="N31" i="11" s="1"/>
  <c r="I31" i="11"/>
  <c r="K30" i="11"/>
  <c r="F30" i="11"/>
  <c r="E30" i="11"/>
  <c r="N29" i="11"/>
  <c r="M29" i="11"/>
  <c r="J29" i="11"/>
  <c r="I29" i="11"/>
  <c r="G29" i="11"/>
  <c r="L28" i="11"/>
  <c r="J28" i="11"/>
  <c r="N28" i="11" s="1"/>
  <c r="I28" i="11"/>
  <c r="M28" i="11" s="1"/>
  <c r="G28" i="11"/>
  <c r="M27" i="11"/>
  <c r="I27" i="11"/>
  <c r="G27" i="11"/>
  <c r="J27" i="11" s="1"/>
  <c r="N27" i="11" s="1"/>
  <c r="L26" i="11"/>
  <c r="M26" i="11" s="1"/>
  <c r="I26" i="11"/>
  <c r="G26" i="11"/>
  <c r="J26" i="11" s="1"/>
  <c r="N26" i="11" s="1"/>
  <c r="L25" i="11"/>
  <c r="L30" i="11" s="1"/>
  <c r="J25" i="11"/>
  <c r="N25" i="11" s="1"/>
  <c r="I25" i="11"/>
  <c r="M25" i="11" s="1"/>
  <c r="G25" i="11"/>
  <c r="L24" i="11"/>
  <c r="J24" i="11"/>
  <c r="N24" i="11" s="1"/>
  <c r="I24" i="11"/>
  <c r="M24" i="11" s="1"/>
  <c r="G24" i="11"/>
  <c r="L23" i="11"/>
  <c r="I23" i="11"/>
  <c r="M23" i="11" s="1"/>
  <c r="G23" i="11"/>
  <c r="G30" i="11" s="1"/>
  <c r="L22" i="11"/>
  <c r="M22" i="11" s="1"/>
  <c r="I22" i="11"/>
  <c r="G22" i="11"/>
  <c r="J22" i="11" s="1"/>
  <c r="L21" i="11"/>
  <c r="K21" i="11"/>
  <c r="K41" i="11" s="1"/>
  <c r="F21" i="11"/>
  <c r="E21" i="11"/>
  <c r="M20" i="11"/>
  <c r="L20" i="11"/>
  <c r="J20" i="11"/>
  <c r="N20" i="11" s="1"/>
  <c r="I20" i="11"/>
  <c r="G20" i="11"/>
  <c r="L19" i="11"/>
  <c r="J19" i="11"/>
  <c r="N19" i="11" s="1"/>
  <c r="I19" i="11"/>
  <c r="M19" i="11" s="1"/>
  <c r="L18" i="11"/>
  <c r="I18" i="11"/>
  <c r="I21" i="11" s="1"/>
  <c r="G18" i="11"/>
  <c r="G21" i="11" s="1"/>
  <c r="K17" i="11"/>
  <c r="F17" i="11"/>
  <c r="F41" i="11" s="1"/>
  <c r="E17" i="11"/>
  <c r="L16" i="11"/>
  <c r="I16" i="11"/>
  <c r="M16" i="11" s="1"/>
  <c r="G16" i="11"/>
  <c r="J16" i="11" s="1"/>
  <c r="N16" i="11" s="1"/>
  <c r="L15" i="11"/>
  <c r="I15" i="11"/>
  <c r="M15" i="11" s="1"/>
  <c r="G15" i="11"/>
  <c r="G17" i="11" s="1"/>
  <c r="Q41" i="11"/>
  <c r="N14" i="11"/>
  <c r="M14" i="11"/>
  <c r="L14" i="11"/>
  <c r="J14" i="11"/>
  <c r="I14" i="11"/>
  <c r="G14" i="11"/>
  <c r="L13" i="11"/>
  <c r="M13" i="11" s="1"/>
  <c r="I13" i="11"/>
  <c r="G13" i="11"/>
  <c r="J13" i="11" s="1"/>
  <c r="N13" i="11" s="1"/>
  <c r="M12" i="11"/>
  <c r="L12" i="11"/>
  <c r="L17" i="11" s="1"/>
  <c r="J12" i="11"/>
  <c r="N12" i="11" s="1"/>
  <c r="I12" i="11"/>
  <c r="I17" i="11" s="1"/>
  <c r="G12" i="11"/>
  <c r="P41" i="11"/>
  <c r="O41" i="11"/>
  <c r="K11" i="11"/>
  <c r="F11" i="11"/>
  <c r="E11" i="11"/>
  <c r="E41" i="11" s="1"/>
  <c r="L10" i="11"/>
  <c r="M10" i="11" s="1"/>
  <c r="I10" i="11"/>
  <c r="G10" i="11"/>
  <c r="J10" i="11" s="1"/>
  <c r="N10" i="11" s="1"/>
  <c r="L9" i="11"/>
  <c r="L11" i="11" s="1"/>
  <c r="J9" i="11"/>
  <c r="J11" i="11" s="1"/>
  <c r="I9" i="11"/>
  <c r="I11" i="11" s="1"/>
  <c r="G9" i="11"/>
  <c r="G11" i="11" s="1"/>
  <c r="L8" i="11"/>
  <c r="J8" i="11"/>
  <c r="N8" i="11" s="1"/>
  <c r="I8" i="11"/>
  <c r="M8" i="11" s="1"/>
  <c r="G8" i="11"/>
  <c r="K7" i="11"/>
  <c r="F7" i="11"/>
  <c r="E7" i="11"/>
  <c r="L6" i="11"/>
  <c r="J6" i="11"/>
  <c r="N6" i="11" s="1"/>
  <c r="I6" i="11"/>
  <c r="M6" i="11" s="1"/>
  <c r="G6" i="11"/>
  <c r="L5" i="11"/>
  <c r="I5" i="11"/>
  <c r="M5" i="11" s="1"/>
  <c r="G5" i="11"/>
  <c r="J5" i="11" s="1"/>
  <c r="N5" i="11" s="1"/>
  <c r="M4" i="11"/>
  <c r="L4" i="11"/>
  <c r="I4" i="11"/>
  <c r="G4" i="11"/>
  <c r="J4" i="11" s="1"/>
  <c r="N4" i="11" s="1"/>
  <c r="M3" i="11"/>
  <c r="L3" i="11"/>
  <c r="J3" i="11"/>
  <c r="N3" i="11" s="1"/>
  <c r="I3" i="11"/>
  <c r="G3" i="11"/>
  <c r="L2" i="11"/>
  <c r="L7" i="11" s="1"/>
  <c r="J2" i="11"/>
  <c r="I2" i="11"/>
  <c r="M2" i="11" s="1"/>
  <c r="M7" i="11" s="1"/>
  <c r="G2" i="11"/>
  <c r="G7" i="11" s="1"/>
  <c r="E30" i="10"/>
  <c r="E41" i="10" s="1"/>
  <c r="G7" i="10"/>
  <c r="L21" i="10"/>
  <c r="L41" i="10" s="1"/>
  <c r="F21" i="10"/>
  <c r="N17" i="10"/>
  <c r="J17" i="10"/>
  <c r="K17" i="10"/>
  <c r="K41" i="10" s="1"/>
  <c r="L17" i="10"/>
  <c r="M17" i="10"/>
  <c r="I17" i="10"/>
  <c r="F17" i="10"/>
  <c r="F41" i="10" s="1"/>
  <c r="G41" i="10"/>
  <c r="I41" i="10"/>
  <c r="M41" i="10"/>
  <c r="N41" i="10"/>
  <c r="O41" i="10"/>
  <c r="P41" i="10"/>
  <c r="Q41" i="10"/>
  <c r="N40" i="10"/>
  <c r="O40" i="10"/>
  <c r="P40" i="10"/>
  <c r="Q40" i="10"/>
  <c r="J40" i="10"/>
  <c r="K40" i="10"/>
  <c r="L40" i="10"/>
  <c r="M40" i="10"/>
  <c r="I40" i="10"/>
  <c r="F40" i="10"/>
  <c r="G40" i="10"/>
  <c r="E40" i="10"/>
  <c r="L39" i="10"/>
  <c r="J39" i="10"/>
  <c r="N39" i="10" s="1"/>
  <c r="I39" i="10"/>
  <c r="M39" i="10" s="1"/>
  <c r="L38" i="10"/>
  <c r="M38" i="10" s="1"/>
  <c r="J38" i="10"/>
  <c r="I38" i="10"/>
  <c r="L37" i="10"/>
  <c r="I37" i="10"/>
  <c r="M37" i="10" s="1"/>
  <c r="G37" i="10"/>
  <c r="J37" i="10" s="1"/>
  <c r="N37" i="10" s="1"/>
  <c r="L36" i="10"/>
  <c r="I36" i="10"/>
  <c r="M36" i="10" s="1"/>
  <c r="G36" i="10"/>
  <c r="J36" i="10" s="1"/>
  <c r="N36" i="10" s="1"/>
  <c r="Q18" i="6"/>
  <c r="Q16" i="6"/>
  <c r="L16" i="6"/>
  <c r="M16" i="6"/>
  <c r="N16" i="6"/>
  <c r="I16" i="6"/>
  <c r="J16" i="6"/>
  <c r="G16" i="6"/>
  <c r="F35" i="10"/>
  <c r="G35" i="10"/>
  <c r="K35" i="10"/>
  <c r="E35" i="10"/>
  <c r="L34" i="10"/>
  <c r="L35" i="10" s="1"/>
  <c r="J34" i="10"/>
  <c r="N34" i="10" s="1"/>
  <c r="I34" i="10"/>
  <c r="L33" i="10"/>
  <c r="J33" i="10"/>
  <c r="N33" i="10" s="1"/>
  <c r="I33" i="10"/>
  <c r="M33" i="10" s="1"/>
  <c r="L32" i="10"/>
  <c r="J32" i="10"/>
  <c r="N32" i="10" s="1"/>
  <c r="I32" i="10"/>
  <c r="M32" i="10" s="1"/>
  <c r="J31" i="10"/>
  <c r="N31" i="10" s="1"/>
  <c r="I31" i="10"/>
  <c r="M31" i="10" s="1"/>
  <c r="N15" i="1"/>
  <c r="K30" i="10"/>
  <c r="F30" i="10"/>
  <c r="L23" i="10"/>
  <c r="L24" i="10"/>
  <c r="L25" i="10"/>
  <c r="L26" i="10"/>
  <c r="L28" i="10"/>
  <c r="I23" i="10"/>
  <c r="I24" i="10"/>
  <c r="I25" i="10"/>
  <c r="I26" i="10"/>
  <c r="I27" i="10"/>
  <c r="M27" i="10" s="1"/>
  <c r="I28" i="10"/>
  <c r="I29" i="10"/>
  <c r="M29" i="10" s="1"/>
  <c r="G23" i="10"/>
  <c r="J23" i="10" s="1"/>
  <c r="G24" i="10"/>
  <c r="J24" i="10" s="1"/>
  <c r="G25" i="10"/>
  <c r="J25" i="10" s="1"/>
  <c r="G26" i="10"/>
  <c r="J26" i="10" s="1"/>
  <c r="G27" i="10"/>
  <c r="J27" i="10" s="1"/>
  <c r="N27" i="10" s="1"/>
  <c r="G28" i="10"/>
  <c r="J28" i="10" s="1"/>
  <c r="G29" i="10"/>
  <c r="J29" i="10" s="1"/>
  <c r="N29" i="10" s="1"/>
  <c r="L51" i="10"/>
  <c r="P48" i="10"/>
  <c r="L22" i="10"/>
  <c r="I22" i="10"/>
  <c r="G22" i="10"/>
  <c r="J22" i="10" s="1"/>
  <c r="K21" i="10"/>
  <c r="E21" i="10"/>
  <c r="L20" i="10"/>
  <c r="I20" i="10"/>
  <c r="G20" i="10"/>
  <c r="J20" i="10" s="1"/>
  <c r="L19" i="10"/>
  <c r="J19" i="10"/>
  <c r="I19" i="10"/>
  <c r="L18" i="10"/>
  <c r="I18" i="10"/>
  <c r="G18" i="10"/>
  <c r="J18" i="10" s="1"/>
  <c r="E17" i="10"/>
  <c r="Q16" i="10"/>
  <c r="L16" i="10"/>
  <c r="I16" i="10"/>
  <c r="G16" i="10"/>
  <c r="J16" i="10" s="1"/>
  <c r="Q15" i="10"/>
  <c r="L15" i="10"/>
  <c r="I15" i="10"/>
  <c r="G15" i="10"/>
  <c r="J15" i="10" s="1"/>
  <c r="Q14" i="10"/>
  <c r="L14" i="10"/>
  <c r="I14" i="10"/>
  <c r="G14" i="10"/>
  <c r="J14" i="10" s="1"/>
  <c r="Q13" i="10"/>
  <c r="L13" i="10"/>
  <c r="I13" i="10"/>
  <c r="G13" i="10"/>
  <c r="J13" i="10" s="1"/>
  <c r="Q12" i="10"/>
  <c r="L12" i="10"/>
  <c r="I12" i="10"/>
  <c r="G12" i="10"/>
  <c r="J12" i="10" s="1"/>
  <c r="P11" i="10"/>
  <c r="O11" i="10"/>
  <c r="K11" i="10"/>
  <c r="F11" i="10"/>
  <c r="E11" i="10"/>
  <c r="L10" i="10"/>
  <c r="I10" i="10"/>
  <c r="G10" i="10"/>
  <c r="J10" i="10" s="1"/>
  <c r="L9" i="10"/>
  <c r="I9" i="10"/>
  <c r="G9" i="10"/>
  <c r="J9" i="10" s="1"/>
  <c r="L8" i="10"/>
  <c r="I8" i="10"/>
  <c r="G8" i="10"/>
  <c r="J8" i="10" s="1"/>
  <c r="P7" i="10"/>
  <c r="O7" i="10"/>
  <c r="K7" i="10"/>
  <c r="F7" i="10"/>
  <c r="E7" i="10"/>
  <c r="L6" i="10"/>
  <c r="I6" i="10"/>
  <c r="G6" i="10"/>
  <c r="J6" i="10" s="1"/>
  <c r="L5" i="10"/>
  <c r="I5" i="10"/>
  <c r="G5" i="10"/>
  <c r="J5" i="10" s="1"/>
  <c r="L4" i="10"/>
  <c r="I4" i="10"/>
  <c r="G4" i="10"/>
  <c r="J4" i="10" s="1"/>
  <c r="L3" i="10"/>
  <c r="I3" i="10"/>
  <c r="G3" i="10"/>
  <c r="J3" i="10" s="1"/>
  <c r="L2" i="10"/>
  <c r="I2" i="10"/>
  <c r="G2" i="10"/>
  <c r="J2" i="10" s="1"/>
  <c r="F28" i="1"/>
  <c r="E28" i="1"/>
  <c r="M22" i="1"/>
  <c r="E22" i="1"/>
  <c r="G10" i="1"/>
  <c r="G2" i="1"/>
  <c r="I2" i="1"/>
  <c r="J2" i="1"/>
  <c r="L2" i="1"/>
  <c r="M2" i="1" s="1"/>
  <c r="G3" i="1"/>
  <c r="J3" i="1" s="1"/>
  <c r="I3" i="1"/>
  <c r="L3" i="1"/>
  <c r="G4" i="1"/>
  <c r="J4" i="1" s="1"/>
  <c r="N4" i="1" s="1"/>
  <c r="I4" i="1"/>
  <c r="L4" i="1"/>
  <c r="G5" i="1"/>
  <c r="I5" i="1"/>
  <c r="J5" i="1"/>
  <c r="N5" i="1" s="1"/>
  <c r="L5" i="1"/>
  <c r="M5" i="1"/>
  <c r="G6" i="1"/>
  <c r="I6" i="1"/>
  <c r="J6" i="1"/>
  <c r="L6" i="1"/>
  <c r="M6" i="1"/>
  <c r="N6" i="1"/>
  <c r="G7" i="1"/>
  <c r="J7" i="1" s="1"/>
  <c r="N7" i="1" s="1"/>
  <c r="I7" i="1"/>
  <c r="L7" i="1"/>
  <c r="G8" i="1"/>
  <c r="I8" i="1"/>
  <c r="J8" i="1"/>
  <c r="L8" i="1"/>
  <c r="G9" i="1"/>
  <c r="J9" i="1" s="1"/>
  <c r="N9" i="1" s="1"/>
  <c r="I9" i="1"/>
  <c r="M9" i="1" s="1"/>
  <c r="L9" i="1"/>
  <c r="E17" i="1"/>
  <c r="Q17" i="6"/>
  <c r="K18" i="6"/>
  <c r="L17" i="6"/>
  <c r="I17" i="6"/>
  <c r="F18" i="6"/>
  <c r="G17" i="6"/>
  <c r="J17" i="6" s="1"/>
  <c r="E18" i="6"/>
  <c r="E11" i="6"/>
  <c r="K22" i="6"/>
  <c r="F22" i="6"/>
  <c r="E22" i="6"/>
  <c r="E7" i="6"/>
  <c r="Q14" i="6"/>
  <c r="Q15" i="6"/>
  <c r="Q13" i="6"/>
  <c r="Q12" i="6"/>
  <c r="L15" i="6"/>
  <c r="L14" i="6"/>
  <c r="L13" i="6"/>
  <c r="I15" i="6"/>
  <c r="I14" i="6"/>
  <c r="G15" i="6"/>
  <c r="J15" i="6" s="1"/>
  <c r="G14" i="6"/>
  <c r="J14" i="6" s="1"/>
  <c r="F7" i="6"/>
  <c r="M17" i="11" l="1"/>
  <c r="M30" i="11"/>
  <c r="J7" i="11"/>
  <c r="N22" i="11"/>
  <c r="M35" i="11"/>
  <c r="L41" i="11"/>
  <c r="I7" i="11"/>
  <c r="I41" i="11" s="1"/>
  <c r="I40" i="11"/>
  <c r="J40" i="11"/>
  <c r="M9" i="11"/>
  <c r="M11" i="11" s="1"/>
  <c r="N9" i="11"/>
  <c r="N11" i="11" s="1"/>
  <c r="G41" i="11"/>
  <c r="N2" i="11"/>
  <c r="N7" i="11" s="1"/>
  <c r="J15" i="11"/>
  <c r="N15" i="11" s="1"/>
  <c r="N17" i="11" s="1"/>
  <c r="J17" i="11"/>
  <c r="J18" i="11"/>
  <c r="J23" i="11"/>
  <c r="I30" i="11"/>
  <c r="N34" i="11"/>
  <c r="N35" i="11" s="1"/>
  <c r="M18" i="11"/>
  <c r="M21" i="11" s="1"/>
  <c r="M41" i="11" s="1"/>
  <c r="N38" i="10"/>
  <c r="M13" i="10"/>
  <c r="N35" i="10"/>
  <c r="M34" i="10"/>
  <c r="M35" i="10" s="1"/>
  <c r="I35" i="10"/>
  <c r="J35" i="10"/>
  <c r="M28" i="10"/>
  <c r="M17" i="6"/>
  <c r="Q24" i="6"/>
  <c r="N26" i="10"/>
  <c r="M26" i="10"/>
  <c r="N20" i="10"/>
  <c r="N25" i="10"/>
  <c r="N24" i="10"/>
  <c r="M24" i="10"/>
  <c r="M5" i="10"/>
  <c r="I30" i="10"/>
  <c r="M23" i="10"/>
  <c r="N10" i="10"/>
  <c r="L30" i="10"/>
  <c r="M10" i="10"/>
  <c r="M14" i="10"/>
  <c r="M16" i="10"/>
  <c r="N28" i="10"/>
  <c r="N23" i="10"/>
  <c r="J30" i="10"/>
  <c r="M25" i="10"/>
  <c r="G30" i="10"/>
  <c r="N3" i="10"/>
  <c r="N13" i="10"/>
  <c r="N15" i="10"/>
  <c r="M22" i="10"/>
  <c r="N22" i="10" s="1"/>
  <c r="M15" i="10"/>
  <c r="N6" i="10"/>
  <c r="N8" i="10"/>
  <c r="M19" i="10"/>
  <c r="M6" i="10"/>
  <c r="M8" i="10"/>
  <c r="N19" i="10"/>
  <c r="M2" i="10"/>
  <c r="I11" i="10"/>
  <c r="J11" i="10"/>
  <c r="N5" i="10"/>
  <c r="J7" i="10"/>
  <c r="L7" i="10"/>
  <c r="M9" i="10"/>
  <c r="L11" i="10"/>
  <c r="Q17" i="10"/>
  <c r="M3" i="10"/>
  <c r="N4" i="10"/>
  <c r="M20" i="10"/>
  <c r="M4" i="10"/>
  <c r="N14" i="10"/>
  <c r="N16" i="10"/>
  <c r="I21" i="10"/>
  <c r="N12" i="10"/>
  <c r="J21" i="10"/>
  <c r="N18" i="10"/>
  <c r="N9" i="10"/>
  <c r="N11" i="10" s="1"/>
  <c r="M12" i="10"/>
  <c r="N2" i="10"/>
  <c r="G17" i="10"/>
  <c r="G11" i="10"/>
  <c r="G21" i="10"/>
  <c r="I7" i="10"/>
  <c r="M18" i="10"/>
  <c r="M3" i="1"/>
  <c r="N3" i="1"/>
  <c r="N2" i="1"/>
  <c r="N8" i="1"/>
  <c r="M8" i="1"/>
  <c r="M7" i="1"/>
  <c r="M4" i="1"/>
  <c r="N17" i="6"/>
  <c r="E24" i="6"/>
  <c r="M14" i="6"/>
  <c r="M15" i="6"/>
  <c r="N15" i="6"/>
  <c r="N14" i="6"/>
  <c r="L21" i="6"/>
  <c r="I21" i="6"/>
  <c r="G21" i="6"/>
  <c r="J21" i="6" s="1"/>
  <c r="L20" i="6"/>
  <c r="J20" i="6"/>
  <c r="N20" i="6" s="1"/>
  <c r="I20" i="6"/>
  <c r="G19" i="6"/>
  <c r="I13" i="6"/>
  <c r="M13" i="6" s="1"/>
  <c r="G13" i="6"/>
  <c r="J13" i="6" s="1"/>
  <c r="N13" i="6" s="1"/>
  <c r="J30" i="11" l="1"/>
  <c r="N23" i="11"/>
  <c r="N30" i="11" s="1"/>
  <c r="N18" i="11"/>
  <c r="N21" i="11" s="1"/>
  <c r="N41" i="11" s="1"/>
  <c r="J21" i="11"/>
  <c r="J41" i="11" s="1"/>
  <c r="M30" i="10"/>
  <c r="M11" i="10"/>
  <c r="N30" i="10"/>
  <c r="M7" i="10"/>
  <c r="N21" i="10"/>
  <c r="M21" i="10"/>
  <c r="N7" i="10"/>
  <c r="J19" i="6"/>
  <c r="J22" i="6" s="1"/>
  <c r="G22" i="6"/>
  <c r="M20" i="6"/>
  <c r="M21" i="6"/>
  <c r="N21" i="6"/>
  <c r="F27" i="1" l="1"/>
  <c r="E27" i="1"/>
  <c r="L25" i="1"/>
  <c r="J25" i="1"/>
  <c r="I25" i="1"/>
  <c r="L26" i="1"/>
  <c r="J26" i="1"/>
  <c r="I26" i="1"/>
  <c r="L23" i="6"/>
  <c r="I23" i="6"/>
  <c r="G23" i="6"/>
  <c r="J23" i="6" s="1"/>
  <c r="N37" i="1"/>
  <c r="K37" i="1"/>
  <c r="L19" i="1"/>
  <c r="L20" i="1"/>
  <c r="L21" i="1"/>
  <c r="E16" i="3"/>
  <c r="D23" i="3"/>
  <c r="L15" i="1"/>
  <c r="I15" i="1"/>
  <c r="G15" i="1"/>
  <c r="J15" i="1" s="1"/>
  <c r="L11" i="1"/>
  <c r="I11" i="1"/>
  <c r="G11" i="1"/>
  <c r="J11" i="1" s="1"/>
  <c r="T37" i="1"/>
  <c r="Q37" i="1"/>
  <c r="J19" i="1"/>
  <c r="J20" i="1"/>
  <c r="J21" i="1"/>
  <c r="K22" i="1"/>
  <c r="I19" i="1"/>
  <c r="I20" i="1"/>
  <c r="I21" i="1"/>
  <c r="G22" i="1"/>
  <c r="F22" i="1"/>
  <c r="H26" i="3"/>
  <c r="I24" i="3"/>
  <c r="K26" i="3"/>
  <c r="D3" i="3"/>
  <c r="J3" i="3" s="1"/>
  <c r="D14" i="3"/>
  <c r="J14" i="3" s="1"/>
  <c r="J2" i="3"/>
  <c r="F14" i="3"/>
  <c r="G14" i="3"/>
  <c r="F3" i="3"/>
  <c r="I13" i="3"/>
  <c r="G2" i="6"/>
  <c r="I2" i="6"/>
  <c r="L2" i="6"/>
  <c r="G3" i="6"/>
  <c r="J3" i="6" s="1"/>
  <c r="I3" i="6"/>
  <c r="L3" i="6"/>
  <c r="G4" i="6"/>
  <c r="J4" i="6" s="1"/>
  <c r="I4" i="6"/>
  <c r="L4" i="6"/>
  <c r="G5" i="6"/>
  <c r="J5" i="6" s="1"/>
  <c r="I5" i="6"/>
  <c r="L5" i="6"/>
  <c r="G6" i="6"/>
  <c r="J6" i="6" s="1"/>
  <c r="I6" i="6"/>
  <c r="L6" i="6"/>
  <c r="K7" i="6"/>
  <c r="O7" i="6"/>
  <c r="P7" i="6"/>
  <c r="G8" i="6"/>
  <c r="I8" i="6"/>
  <c r="L8" i="6"/>
  <c r="G9" i="6"/>
  <c r="J9" i="6" s="1"/>
  <c r="I9" i="6"/>
  <c r="L9" i="6"/>
  <c r="G10" i="6"/>
  <c r="J10" i="6" s="1"/>
  <c r="I10" i="6"/>
  <c r="L10" i="6"/>
  <c r="F11" i="6"/>
  <c r="F24" i="6" s="1"/>
  <c r="K11" i="6"/>
  <c r="O11" i="6"/>
  <c r="P11" i="6"/>
  <c r="P24" i="6" s="1"/>
  <c r="G12" i="6"/>
  <c r="G18" i="6" s="1"/>
  <c r="I12" i="6"/>
  <c r="I18" i="6" s="1"/>
  <c r="L12" i="6"/>
  <c r="L18" i="6" s="1"/>
  <c r="I19" i="6"/>
  <c r="I22" i="6" s="1"/>
  <c r="L19" i="6"/>
  <c r="L34" i="6"/>
  <c r="I2" i="3"/>
  <c r="H37" i="1"/>
  <c r="H43" i="1"/>
  <c r="K27" i="1"/>
  <c r="E23" i="3"/>
  <c r="J23" i="3" s="1"/>
  <c r="K17" i="1"/>
  <c r="F17" i="1"/>
  <c r="I21" i="3"/>
  <c r="I20" i="3"/>
  <c r="I19" i="3"/>
  <c r="I18" i="3"/>
  <c r="I17" i="3"/>
  <c r="I16" i="3"/>
  <c r="E15" i="3"/>
  <c r="I12" i="3"/>
  <c r="I11" i="3"/>
  <c r="I10" i="3"/>
  <c r="I9" i="3"/>
  <c r="I8" i="3"/>
  <c r="I7" i="3"/>
  <c r="I6" i="3"/>
  <c r="I5" i="3"/>
  <c r="I4" i="3"/>
  <c r="E4" i="3"/>
  <c r="E2" i="3"/>
  <c r="E3" i="3" s="1"/>
  <c r="J10" i="1"/>
  <c r="G12" i="1"/>
  <c r="J12" i="1" s="1"/>
  <c r="G13" i="1"/>
  <c r="J13" i="1" s="1"/>
  <c r="G14" i="1"/>
  <c r="J14" i="1" s="1"/>
  <c r="N14" i="1" s="1"/>
  <c r="G16" i="1"/>
  <c r="J16" i="1" s="1"/>
  <c r="J18" i="1"/>
  <c r="G23" i="1"/>
  <c r="J23" i="1" s="1"/>
  <c r="G24" i="1"/>
  <c r="J24" i="1" s="1"/>
  <c r="L24" i="1"/>
  <c r="I24" i="1"/>
  <c r="L23" i="1"/>
  <c r="I23" i="1"/>
  <c r="L18" i="1"/>
  <c r="I18" i="1"/>
  <c r="I16" i="1"/>
  <c r="I14" i="1"/>
  <c r="L13" i="1"/>
  <c r="I13" i="1"/>
  <c r="L12" i="1"/>
  <c r="I12" i="1"/>
  <c r="L10" i="1"/>
  <c r="I10" i="1"/>
  <c r="K24" i="6" l="1"/>
  <c r="O24" i="6"/>
  <c r="J27" i="1"/>
  <c r="N25" i="1"/>
  <c r="N19" i="1"/>
  <c r="I27" i="1"/>
  <c r="M12" i="1"/>
  <c r="M26" i="1"/>
  <c r="M19" i="1"/>
  <c r="N26" i="1"/>
  <c r="G27" i="1"/>
  <c r="M25" i="1"/>
  <c r="M15" i="1"/>
  <c r="N19" i="6"/>
  <c r="N22" i="6" s="1"/>
  <c r="L22" i="6"/>
  <c r="J8" i="6"/>
  <c r="J2" i="6"/>
  <c r="N2" i="6" s="1"/>
  <c r="G7" i="6"/>
  <c r="M19" i="6"/>
  <c r="M22" i="6" s="1"/>
  <c r="M5" i="6"/>
  <c r="M23" i="6"/>
  <c r="N23" i="6" s="1"/>
  <c r="N21" i="1"/>
  <c r="M21" i="1"/>
  <c r="N20" i="1"/>
  <c r="M20" i="1"/>
  <c r="N11" i="1"/>
  <c r="M11" i="1"/>
  <c r="L22" i="1"/>
  <c r="E14" i="3"/>
  <c r="J26" i="3"/>
  <c r="I26" i="3"/>
  <c r="J22" i="1"/>
  <c r="I22" i="1"/>
  <c r="L27" i="1"/>
  <c r="K28" i="1"/>
  <c r="I7" i="6"/>
  <c r="J12" i="6"/>
  <c r="M8" i="6"/>
  <c r="N5" i="6"/>
  <c r="M10" i="6"/>
  <c r="L11" i="6"/>
  <c r="P31" i="6"/>
  <c r="N9" i="6"/>
  <c r="M12" i="6"/>
  <c r="M18" i="6" s="1"/>
  <c r="N4" i="6"/>
  <c r="N10" i="6"/>
  <c r="M6" i="6"/>
  <c r="M9" i="6"/>
  <c r="M4" i="6"/>
  <c r="N6" i="6"/>
  <c r="G11" i="6"/>
  <c r="N3" i="6"/>
  <c r="J11" i="6"/>
  <c r="M2" i="6"/>
  <c r="L7" i="6"/>
  <c r="M3" i="6"/>
  <c r="I11" i="6"/>
  <c r="E26" i="3"/>
  <c r="J17" i="1"/>
  <c r="I17" i="1"/>
  <c r="L17" i="1"/>
  <c r="G17" i="1"/>
  <c r="M13" i="1"/>
  <c r="M24" i="1"/>
  <c r="N12" i="1"/>
  <c r="M14" i="1"/>
  <c r="N23" i="1"/>
  <c r="N16" i="1"/>
  <c r="M23" i="1"/>
  <c r="M18" i="1"/>
  <c r="N13" i="1"/>
  <c r="M16" i="1"/>
  <c r="N10" i="1"/>
  <c r="M10" i="1"/>
  <c r="N24" i="1"/>
  <c r="N18" i="1"/>
  <c r="L24" i="6" l="1"/>
  <c r="G24" i="6"/>
  <c r="I24" i="6"/>
  <c r="M27" i="1"/>
  <c r="I28" i="1"/>
  <c r="N22" i="1"/>
  <c r="N27" i="1"/>
  <c r="J7" i="6"/>
  <c r="N8" i="6"/>
  <c r="N12" i="6"/>
  <c r="N18" i="6" s="1"/>
  <c r="J18" i="6"/>
  <c r="L28" i="1"/>
  <c r="J28" i="1"/>
  <c r="G28" i="1"/>
  <c r="M11" i="6"/>
  <c r="M24" i="6" s="1"/>
  <c r="N11" i="6"/>
  <c r="N7" i="6"/>
  <c r="M7" i="6"/>
  <c r="M17" i="1"/>
  <c r="N17" i="1"/>
  <c r="J24" i="6" l="1"/>
  <c r="N24" i="6"/>
  <c r="M28" i="1"/>
  <c r="N28" i="1"/>
  <c r="J41" i="10"/>
</calcChain>
</file>

<file path=xl/sharedStrings.xml><?xml version="1.0" encoding="utf-8"?>
<sst xmlns="http://schemas.openxmlformats.org/spreadsheetml/2006/main" count="383" uniqueCount="142">
  <si>
    <t>מס״ד</t>
  </si>
  <si>
    <t>סוג נכס</t>
  </si>
  <si>
    <t>תאריך קניה</t>
  </si>
  <si>
    <t>מחיר קניה</t>
  </si>
  <si>
    <t>שווי הנכס כיום</t>
  </si>
  <si>
    <t>שווי נכס כיום לאחר מס</t>
  </si>
  <si>
    <t>אחוזים בנכס</t>
  </si>
  <si>
    <t xml:space="preserve">(ברוטו) שווי הנכס לאחר ניכוי אחוזים </t>
  </si>
  <si>
    <t>שווי הנכס לאחר ניכוי אחוזים (נטו)</t>
  </si>
  <si>
    <t xml:space="preserve">מינוף כללי </t>
  </si>
  <si>
    <t xml:space="preserve">מינוף אישי </t>
  </si>
  <si>
    <t>שווי הנכס לאחר מינוף (ברוטו)</t>
  </si>
  <si>
    <t>שווי הנכס לאחר מינוף (נטו)</t>
  </si>
  <si>
    <t>טללים סוכנות לביטוח בע״מ</t>
  </si>
  <si>
    <t>סוכנות ביטוח</t>
  </si>
  <si>
    <t>לב יפה 9</t>
  </si>
  <si>
    <t>חנות דגים פסגת זאב</t>
  </si>
  <si>
    <t>ניקנור 38</t>
  </si>
  <si>
    <t>בית שמש</t>
  </si>
  <si>
    <t>דקל נכסים</t>
  </si>
  <si>
    <t>ג.מ אגם</t>
  </si>
  <si>
    <t>בת ים סטוק</t>
  </si>
  <si>
    <t>מרכז מסחרי רשל״צ</t>
  </si>
  <si>
    <t>יורם טל וליאור שלום</t>
  </si>
  <si>
    <t>ארנונה</t>
  </si>
  <si>
    <t>ניקנור 36</t>
  </si>
  <si>
    <t>שבטי ישראל 48</t>
  </si>
  <si>
    <t>הרובע היהודי</t>
  </si>
  <si>
    <t>בצלאל הגדול</t>
  </si>
  <si>
    <t>בצלאל הקטן</t>
  </si>
  <si>
    <t>גבעת שאול</t>
  </si>
  <si>
    <t>דירה רשל״צ</t>
  </si>
  <si>
    <t>גרמניה</t>
  </si>
  <si>
    <t>סה״כ</t>
  </si>
  <si>
    <t>נכסים יורם וטליה לא למימוש</t>
  </si>
  <si>
    <t>קרנות פנסיה</t>
  </si>
  <si>
    <t>קופות גמל</t>
  </si>
  <si>
    <t>מס חברות</t>
  </si>
  <si>
    <t>חודשים</t>
  </si>
  <si>
    <t>תיאור הנכס</t>
  </si>
  <si>
    <t>הכנסה ליחידה</t>
  </si>
  <si>
    <t xml:space="preserve">הכנסה כללית לנכנס </t>
  </si>
  <si>
    <t>הוצאות כלליות</t>
  </si>
  <si>
    <t>החזר הלוואה</t>
  </si>
  <si>
    <t>ריבית</t>
  </si>
  <si>
    <t>קרן</t>
  </si>
  <si>
    <t>הכנסות טללים סוכנות לביטוח בע״מ</t>
  </si>
  <si>
    <t>סוכנות ביטוח מוניטין</t>
  </si>
  <si>
    <t>חנות  65 מ</t>
  </si>
  <si>
    <t>דירה 60 מ׳</t>
  </si>
  <si>
    <t>חנות דגים</t>
  </si>
  <si>
    <t>חנות דגים 40 מ׳ +20 מ׳ גלריה</t>
  </si>
  <si>
    <t>מכבסה 26 מ׳</t>
  </si>
  <si>
    <t>חנות אלקטרוניקה 60 מ׳</t>
  </si>
  <si>
    <t>אדריכל 50 מ׳</t>
  </si>
  <si>
    <t>דלישס מרכולים 440 מ׳</t>
  </si>
  <si>
    <t>בגדים 100 מ׳</t>
  </si>
  <si>
    <t>מאפייה 8- מ׳ +80 מ׳ גלריה</t>
  </si>
  <si>
    <t>פרויקט מעלה אדומים</t>
  </si>
  <si>
    <t>הכנסות ג.מ אגם</t>
  </si>
  <si>
    <t>סטוק 2000 מ׳</t>
  </si>
  <si>
    <t>סול רהיטים 500 מ׳</t>
  </si>
  <si>
    <t>מאמאמיה אחזקות</t>
  </si>
  <si>
    <t>דקל אדומים</t>
  </si>
  <si>
    <t>M&amp;T</t>
  </si>
  <si>
    <t>שטח רחוב השקמה</t>
  </si>
  <si>
    <t>חו״ל</t>
  </si>
  <si>
    <t>AVERST</t>
  </si>
  <si>
    <t>הכנסה ברוטו חודשית</t>
  </si>
  <si>
    <t>הוצאות כולל הלוואה</t>
  </si>
  <si>
    <t>חסכון</t>
  </si>
  <si>
    <t>טללים</t>
  </si>
  <si>
    <t>אגם</t>
  </si>
  <si>
    <t>דירה יובל</t>
  </si>
  <si>
    <t>סהכ</t>
  </si>
  <si>
    <t>תקציב לקניית דירה</t>
  </si>
  <si>
    <t>איגרוף+פוטנציאל 500 מ׳</t>
  </si>
  <si>
    <t>משרדים+בושם 1000מ׳</t>
  </si>
  <si>
    <t>סה״כ כללי</t>
  </si>
  <si>
    <t>השקעה לדירה</t>
  </si>
  <si>
    <t xml:space="preserve">סה״כ </t>
  </si>
  <si>
    <t>יורם טל אישי</t>
  </si>
  <si>
    <t>יובל</t>
  </si>
  <si>
    <t>יהודה הנשיא</t>
  </si>
  <si>
    <t>הוצאות</t>
  </si>
  <si>
    <t>אישי גרמניה</t>
  </si>
  <si>
    <t>טללים שוטף</t>
  </si>
  <si>
    <t>השקעה בדירה</t>
  </si>
  <si>
    <t>השקעה יובל</t>
  </si>
  <si>
    <t>אישי יורם</t>
  </si>
  <si>
    <t>תזרים 2023</t>
  </si>
  <si>
    <t>בצלאל 17</t>
  </si>
  <si>
    <t>בלוגרית אוכל</t>
  </si>
  <si>
    <t>הכנסות חו״ל</t>
  </si>
  <si>
    <t>הכנסות חוץ לארץ</t>
  </si>
  <si>
    <t>ארה״ב</t>
  </si>
  <si>
    <t>דופלקס ליה אקרס</t>
  </si>
  <si>
    <t>הכנסות נטו</t>
  </si>
  <si>
    <t>הכנסות חו״ל להשקעה</t>
  </si>
  <si>
    <t>שווי הנכס לאחר מס (נטו)</t>
  </si>
  <si>
    <t xml:space="preserve">השקעות </t>
  </si>
  <si>
    <t>SPY</t>
  </si>
  <si>
    <t>-</t>
  </si>
  <si>
    <t>מכירת בית גבעון</t>
  </si>
  <si>
    <t>כסף יובל</t>
  </si>
  <si>
    <t>כסף טללים</t>
  </si>
  <si>
    <t>קרן השתלמות</t>
  </si>
  <si>
    <t>תזרים 2024 דירה למגורים</t>
  </si>
  <si>
    <t>גבעון</t>
  </si>
  <si>
    <t xml:space="preserve">מכירה </t>
  </si>
  <si>
    <t>ראשון לציון</t>
  </si>
  <si>
    <t>מקורות</t>
  </si>
  <si>
    <t>עודפים יורם</t>
  </si>
  <si>
    <t>פלורידה</t>
  </si>
  <si>
    <t>חנות ארנונה כפר עציון</t>
  </si>
  <si>
    <t>ארנונה כפר עציון</t>
  </si>
  <si>
    <t>טורים</t>
  </si>
  <si>
    <t>פלורידה גרמניה</t>
  </si>
  <si>
    <t>לימור הפקות ומקסימוב  300 מ׳</t>
  </si>
  <si>
    <t>ניקו +ניקיון  500 מ׳</t>
  </si>
  <si>
    <t>בניין הסן מערב גרמניה</t>
  </si>
  <si>
    <t>השקעות בארץ</t>
  </si>
  <si>
    <t>קרקע חקלאית</t>
  </si>
  <si>
    <t>גרמניה מינכן</t>
  </si>
  <si>
    <t>גרמניה חדש</t>
  </si>
  <si>
    <t>בית</t>
  </si>
  <si>
    <t>טללים בית</t>
  </si>
  <si>
    <t>השתלמות</t>
  </si>
  <si>
    <t xml:space="preserve"> </t>
  </si>
  <si>
    <t>טללים רזרבות</t>
  </si>
  <si>
    <t xml:space="preserve"> החזר הלוואה גרמניה</t>
  </si>
  <si>
    <t xml:space="preserve">רזרבה אישי </t>
  </si>
  <si>
    <t xml:space="preserve">גרמניה </t>
  </si>
  <si>
    <t>5243 29th ST SW</t>
  </si>
  <si>
    <t>4504/4506 29th St SW</t>
  </si>
  <si>
    <t>854-856 Alabama Rd</t>
  </si>
  <si>
    <t xml:space="preserve">2229/2231 Fairway </t>
  </si>
  <si>
    <t>Omazons</t>
  </si>
  <si>
    <t>כסף חשבון בנק יובל</t>
  </si>
  <si>
    <t>כסף לרכישת בית</t>
  </si>
  <si>
    <t xml:space="preserve">יורם טל וליאור שלום - דלישס </t>
  </si>
  <si>
    <t>865-867 Bedford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</si>
</sst>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₪&quot;_-;\-* #,##0.00\ &quot;₪&quot;_-;_-* &quot;-&quot;??\ &quot;₪&quot;_-;_-@_-"/>
    <numFmt numFmtId="165" formatCode="_-* #,##0\ &quot;₪&quot;_-;\-* #,##0\ &quot;₪&quot;_-;_-* &quot;-&quot;??\ &quot;₪&quot;_-;_-@_-"/>
    <numFmt numFmtId="166" formatCode="_-&quot;₪&quot;* #,##0_-;\-&quot;₪&quot;* #,##0_-;_-&quot;₪&quot;* &quot;-&quot;??_-;_-@_-"/>
  </numFmts>
  <fonts count="15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6"/>
      <color rgb="FF000000"/>
      <name val="David"/>
    </font>
    <font>
      <sz val="16"/>
      <color theme="1"/>
      <name val="David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David"/>
    </font>
    <font>
      <b/>
      <sz val="18"/>
      <color theme="1"/>
      <name val="Arial"/>
      <family val="2"/>
      <charset val="177"/>
      <scheme val="minor"/>
    </font>
    <font>
      <sz val="12"/>
      <color theme="1"/>
      <name val="David"/>
    </font>
    <font>
      <b/>
      <sz val="18"/>
      <color rgb="FF000000"/>
      <name val="David"/>
    </font>
    <font>
      <b/>
      <sz val="12"/>
      <color theme="1"/>
      <name val="David"/>
    </font>
    <font>
      <b/>
      <sz val="14"/>
      <color rgb="FF000000"/>
      <name val="David"/>
    </font>
    <font>
      <sz val="14"/>
      <color theme="1"/>
      <name val="David"/>
    </font>
    <font>
      <b/>
      <sz val="16"/>
      <color theme="1"/>
      <name val="David"/>
    </font>
    <font>
      <sz val="14"/>
      <color rgb="FF000000"/>
      <name val="David"/>
    </font>
  </fonts>
  <fills count="1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2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166" fontId="3" fillId="5" borderId="0" xfId="1" applyNumberFormat="1" applyFont="1" applyFill="1" applyBorder="1" applyAlignment="1">
      <alignment horizontal="center" vertical="center" wrapText="1"/>
    </xf>
    <xf numFmtId="166" fontId="0" fillId="0" borderId="13" xfId="1" applyNumberFormat="1" applyFont="1" applyBorder="1" applyAlignment="1">
      <alignment horizontal="center" vertical="center"/>
    </xf>
    <xf numFmtId="166" fontId="0" fillId="0" borderId="20" xfId="1" applyNumberFormat="1" applyFont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5" fontId="2" fillId="2" borderId="10" xfId="1" applyNumberFormat="1" applyFont="1" applyFill="1" applyBorder="1" applyAlignment="1">
      <alignment horizontal="center" vertical="center" wrapText="1"/>
    </xf>
    <xf numFmtId="166" fontId="2" fillId="2" borderId="10" xfId="1" applyNumberFormat="1" applyFont="1" applyFill="1" applyBorder="1" applyAlignment="1">
      <alignment horizontal="center" vertical="center" wrapText="1"/>
    </xf>
    <xf numFmtId="9" fontId="2" fillId="2" borderId="10" xfId="2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23" xfId="0" applyBorder="1"/>
    <xf numFmtId="0" fontId="0" fillId="0" borderId="15" xfId="0" applyBorder="1"/>
    <xf numFmtId="0" fontId="0" fillId="0" borderId="26" xfId="0" applyBorder="1"/>
    <xf numFmtId="0" fontId="0" fillId="0" borderId="29" xfId="0" applyBorder="1"/>
    <xf numFmtId="165" fontId="0" fillId="0" borderId="9" xfId="1" applyNumberFormat="1" applyFont="1" applyBorder="1"/>
    <xf numFmtId="165" fontId="0" fillId="0" borderId="9" xfId="1" applyNumberFormat="1" applyFont="1" applyFill="1" applyBorder="1"/>
    <xf numFmtId="165" fontId="0" fillId="0" borderId="2" xfId="1" applyNumberFormat="1" applyFont="1" applyBorder="1"/>
    <xf numFmtId="165" fontId="0" fillId="0" borderId="2" xfId="0" applyNumberFormat="1" applyBorder="1"/>
    <xf numFmtId="165" fontId="0" fillId="0" borderId="2" xfId="1" applyNumberFormat="1" applyFont="1" applyFill="1" applyBorder="1"/>
    <xf numFmtId="166" fontId="0" fillId="0" borderId="21" xfId="1" applyNumberFormat="1" applyFont="1" applyBorder="1" applyAlignment="1">
      <alignment horizontal="center" vertical="center"/>
    </xf>
    <xf numFmtId="165" fontId="0" fillId="0" borderId="10" xfId="1" applyNumberFormat="1" applyFont="1" applyBorder="1"/>
    <xf numFmtId="165" fontId="0" fillId="0" borderId="10" xfId="0" applyNumberFormat="1" applyBorder="1"/>
    <xf numFmtId="165" fontId="0" fillId="0" borderId="10" xfId="1" applyNumberFormat="1" applyFont="1" applyFill="1" applyBorder="1"/>
    <xf numFmtId="166" fontId="0" fillId="0" borderId="11" xfId="1" applyNumberFormat="1" applyFont="1" applyBorder="1" applyAlignment="1">
      <alignment horizontal="center" vertical="center"/>
    </xf>
    <xf numFmtId="165" fontId="0" fillId="0" borderId="12" xfId="1" applyNumberFormat="1" applyFont="1" applyBorder="1"/>
    <xf numFmtId="165" fontId="0" fillId="0" borderId="12" xfId="1" applyNumberFormat="1" applyFont="1" applyFill="1" applyBorder="1"/>
    <xf numFmtId="165" fontId="0" fillId="0" borderId="12" xfId="0" applyNumberFormat="1" applyBorder="1"/>
    <xf numFmtId="165" fontId="0" fillId="0" borderId="15" xfId="1" applyNumberFormat="1" applyFont="1" applyBorder="1"/>
    <xf numFmtId="165" fontId="0" fillId="0" borderId="15" xfId="1" applyNumberFormat="1" applyFont="1" applyFill="1" applyBorder="1"/>
    <xf numFmtId="165" fontId="0" fillId="0" borderId="15" xfId="0" applyNumberFormat="1" applyBorder="1"/>
    <xf numFmtId="165" fontId="0" fillId="7" borderId="16" xfId="0" applyNumberFormat="1" applyFill="1" applyBorder="1" applyAlignment="1">
      <alignment horizontal="center" vertical="center" wrapText="1"/>
    </xf>
    <xf numFmtId="165" fontId="0" fillId="0" borderId="25" xfId="1" applyNumberFormat="1" applyFont="1" applyBorder="1"/>
    <xf numFmtId="165" fontId="0" fillId="0" borderId="25" xfId="1" applyNumberFormat="1" applyFont="1" applyFill="1" applyBorder="1"/>
    <xf numFmtId="164" fontId="0" fillId="0" borderId="12" xfId="0" applyNumberFormat="1" applyBorder="1"/>
    <xf numFmtId="166" fontId="0" fillId="0" borderId="31" xfId="1" applyNumberFormat="1" applyFont="1" applyFill="1" applyBorder="1" applyAlignment="1">
      <alignment horizontal="center" vertical="center"/>
    </xf>
    <xf numFmtId="166" fontId="0" fillId="0" borderId="32" xfId="1" applyNumberFormat="1" applyFont="1" applyBorder="1" applyAlignment="1">
      <alignment horizontal="center" vertical="center"/>
    </xf>
    <xf numFmtId="166" fontId="0" fillId="0" borderId="27" xfId="1" applyNumberFormat="1" applyFont="1" applyBorder="1" applyAlignment="1">
      <alignment horizontal="center" vertical="center"/>
    </xf>
    <xf numFmtId="166" fontId="0" fillId="0" borderId="33" xfId="1" applyNumberFormat="1" applyFont="1" applyBorder="1" applyAlignment="1">
      <alignment horizontal="center" vertical="center"/>
    </xf>
    <xf numFmtId="165" fontId="0" fillId="0" borderId="13" xfId="1" applyNumberFormat="1" applyFont="1" applyBorder="1"/>
    <xf numFmtId="165" fontId="0" fillId="0" borderId="20" xfId="1" applyNumberFormat="1" applyFont="1" applyBorder="1"/>
    <xf numFmtId="165" fontId="0" fillId="0" borderId="0" xfId="1" applyNumberFormat="1" applyFont="1"/>
    <xf numFmtId="165" fontId="0" fillId="8" borderId="10" xfId="0" applyNumberFormat="1" applyFill="1" applyBorder="1"/>
    <xf numFmtId="0" fontId="0" fillId="7" borderId="7" xfId="0" applyFill="1" applyBorder="1" applyAlignment="1">
      <alignment horizontal="center" vertical="center" wrapText="1"/>
    </xf>
    <xf numFmtId="165" fontId="0" fillId="7" borderId="6" xfId="0" applyNumberFormat="1" applyFill="1" applyBorder="1" applyAlignment="1">
      <alignment horizontal="center" vertical="center" wrapText="1"/>
    </xf>
    <xf numFmtId="165" fontId="0" fillId="0" borderId="13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 wrapText="1"/>
    </xf>
    <xf numFmtId="165" fontId="0" fillId="0" borderId="19" xfId="1" applyNumberFormat="1" applyFont="1" applyBorder="1" applyAlignment="1">
      <alignment horizontal="center" vertical="center"/>
    </xf>
    <xf numFmtId="165" fontId="0" fillId="0" borderId="29" xfId="1" applyNumberFormat="1" applyFont="1" applyBorder="1" applyAlignment="1">
      <alignment horizontal="center" vertical="center"/>
    </xf>
    <xf numFmtId="165" fontId="0" fillId="0" borderId="2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165" fontId="0" fillId="8" borderId="14" xfId="1" applyNumberFormat="1" applyFont="1" applyFill="1" applyBorder="1" applyAlignment="1">
      <alignment horizontal="center" vertical="center"/>
    </xf>
    <xf numFmtId="165" fontId="0" fillId="8" borderId="24" xfId="1" applyNumberFormat="1" applyFont="1" applyFill="1" applyBorder="1" applyAlignment="1">
      <alignment horizontal="center" vertical="center"/>
    </xf>
    <xf numFmtId="165" fontId="0" fillId="8" borderId="24" xfId="0" applyNumberForma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165" fontId="0" fillId="8" borderId="23" xfId="1" applyNumberFormat="1" applyFont="1" applyFill="1" applyBorder="1" applyAlignment="1">
      <alignment horizontal="center" vertical="center"/>
    </xf>
    <xf numFmtId="165" fontId="0" fillId="8" borderId="4" xfId="0" applyNumberFormat="1" applyFill="1" applyBorder="1" applyAlignment="1">
      <alignment horizontal="center" vertical="center" wrapText="1"/>
    </xf>
    <xf numFmtId="166" fontId="0" fillId="8" borderId="21" xfId="1" applyNumberFormat="1" applyFont="1" applyFill="1" applyBorder="1" applyAlignment="1">
      <alignment horizontal="center" vertical="center"/>
    </xf>
    <xf numFmtId="165" fontId="0" fillId="8" borderId="10" xfId="1" applyNumberFormat="1" applyFont="1" applyFill="1" applyBorder="1"/>
    <xf numFmtId="165" fontId="0" fillId="0" borderId="22" xfId="0" applyNumberFormat="1" applyBorder="1"/>
    <xf numFmtId="0" fontId="0" fillId="7" borderId="21" xfId="0" applyFill="1" applyBorder="1" applyAlignment="1">
      <alignment horizontal="center" vertical="center" wrapText="1"/>
    </xf>
    <xf numFmtId="166" fontId="0" fillId="0" borderId="10" xfId="1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8" borderId="21" xfId="0" applyFill="1" applyBorder="1" applyAlignment="1">
      <alignment horizontal="center" vertical="center" wrapText="1"/>
    </xf>
    <xf numFmtId="166" fontId="0" fillId="8" borderId="10" xfId="1" applyNumberFormat="1" applyFont="1" applyFill="1" applyBorder="1" applyAlignment="1">
      <alignment horizontal="center" vertical="center"/>
    </xf>
    <xf numFmtId="165" fontId="0" fillId="8" borderId="10" xfId="0" applyNumberFormat="1" applyFill="1" applyBorder="1" applyAlignment="1">
      <alignment horizontal="center" vertical="center"/>
    </xf>
    <xf numFmtId="165" fontId="0" fillId="0" borderId="19" xfId="1" applyNumberFormat="1" applyFont="1" applyBorder="1"/>
    <xf numFmtId="165" fontId="0" fillId="0" borderId="28" xfId="1" applyNumberFormat="1" applyFont="1" applyBorder="1"/>
    <xf numFmtId="165" fontId="0" fillId="0" borderId="28" xfId="1" applyNumberFormat="1" applyFont="1" applyFill="1" applyBorder="1"/>
    <xf numFmtId="165" fontId="0" fillId="0" borderId="24" xfId="0" applyNumberFormat="1" applyBorder="1"/>
    <xf numFmtId="166" fontId="0" fillId="0" borderId="45" xfId="1" applyNumberFormat="1" applyFont="1" applyBorder="1" applyAlignment="1">
      <alignment horizontal="center" vertical="center"/>
    </xf>
    <xf numFmtId="165" fontId="0" fillId="0" borderId="48" xfId="0" applyNumberFormat="1" applyBorder="1"/>
    <xf numFmtId="166" fontId="0" fillId="0" borderId="34" xfId="1" applyNumberFormat="1" applyFont="1" applyBorder="1" applyAlignment="1">
      <alignment horizontal="center" vertical="center"/>
    </xf>
    <xf numFmtId="165" fontId="0" fillId="0" borderId="35" xfId="1" applyNumberFormat="1" applyFont="1" applyBorder="1"/>
    <xf numFmtId="165" fontId="0" fillId="0" borderId="35" xfId="0" applyNumberFormat="1" applyBorder="1"/>
    <xf numFmtId="165" fontId="0" fillId="0" borderId="35" xfId="1" applyNumberFormat="1" applyFont="1" applyFill="1" applyBorder="1"/>
    <xf numFmtId="166" fontId="3" fillId="5" borderId="17" xfId="1" applyNumberFormat="1" applyFont="1" applyFill="1" applyBorder="1" applyAlignment="1">
      <alignment horizontal="center" vertical="center" wrapText="1"/>
    </xf>
    <xf numFmtId="166" fontId="3" fillId="5" borderId="44" xfId="1" applyNumberFormat="1" applyFont="1" applyFill="1" applyBorder="1" applyAlignment="1">
      <alignment horizontal="center" vertical="center" wrapText="1"/>
    </xf>
    <xf numFmtId="165" fontId="3" fillId="5" borderId="17" xfId="1" applyNumberFormat="1" applyFont="1" applyFill="1" applyBorder="1" applyAlignment="1">
      <alignment horizontal="center" vertical="center" wrapText="1"/>
    </xf>
    <xf numFmtId="165" fontId="0" fillId="0" borderId="40" xfId="0" applyNumberFormat="1" applyBorder="1"/>
    <xf numFmtId="165" fontId="0" fillId="8" borderId="48" xfId="0" applyNumberFormat="1" applyFill="1" applyBorder="1"/>
    <xf numFmtId="165" fontId="0" fillId="0" borderId="37" xfId="0" applyNumberFormat="1" applyBorder="1"/>
    <xf numFmtId="165" fontId="0" fillId="0" borderId="41" xfId="0" applyNumberFormat="1" applyBorder="1"/>
    <xf numFmtId="165" fontId="0" fillId="0" borderId="38" xfId="0" applyNumberFormat="1" applyBorder="1"/>
    <xf numFmtId="165" fontId="0" fillId="0" borderId="39" xfId="0" applyNumberFormat="1" applyBorder="1"/>
    <xf numFmtId="165" fontId="0" fillId="0" borderId="49" xfId="0" applyNumberFormat="1" applyBorder="1"/>
    <xf numFmtId="166" fontId="3" fillId="5" borderId="47" xfId="1" applyNumberFormat="1" applyFont="1" applyFill="1" applyBorder="1" applyAlignment="1">
      <alignment horizontal="center" vertical="center" wrapText="1"/>
    </xf>
    <xf numFmtId="166" fontId="3" fillId="5" borderId="42" xfId="1" applyNumberFormat="1" applyFont="1" applyFill="1" applyBorder="1" applyAlignment="1">
      <alignment horizontal="center" vertical="center" wrapText="1"/>
    </xf>
    <xf numFmtId="165" fontId="0" fillId="0" borderId="13" xfId="0" applyNumberFormat="1" applyBorder="1"/>
    <xf numFmtId="165" fontId="0" fillId="0" borderId="21" xfId="0" applyNumberFormat="1" applyBorder="1"/>
    <xf numFmtId="0" fontId="0" fillId="0" borderId="42" xfId="0" applyBorder="1"/>
    <xf numFmtId="165" fontId="0" fillId="0" borderId="19" xfId="0" applyNumberFormat="1" applyBorder="1"/>
    <xf numFmtId="165" fontId="0" fillId="0" borderId="20" xfId="0" applyNumberFormat="1" applyBorder="1"/>
    <xf numFmtId="165" fontId="0" fillId="8" borderId="1" xfId="0" applyNumberFormat="1" applyFill="1" applyBorder="1"/>
    <xf numFmtId="0" fontId="0" fillId="8" borderId="30" xfId="0" applyFill="1" applyBorder="1"/>
    <xf numFmtId="0" fontId="0" fillId="8" borderId="3" xfId="0" applyFill="1" applyBorder="1" applyAlignment="1">
      <alignment horizontal="center" vertical="center" wrapText="1"/>
    </xf>
    <xf numFmtId="166" fontId="0" fillId="8" borderId="4" xfId="1" applyNumberFormat="1" applyFont="1" applyFill="1" applyBorder="1" applyAlignment="1">
      <alignment horizontal="center" vertical="center"/>
    </xf>
    <xf numFmtId="165" fontId="0" fillId="8" borderId="21" xfId="1" applyNumberFormat="1" applyFont="1" applyFill="1" applyBorder="1"/>
    <xf numFmtId="165" fontId="0" fillId="8" borderId="21" xfId="0" applyNumberFormat="1" applyFill="1" applyBorder="1"/>
    <xf numFmtId="0" fontId="0" fillId="8" borderId="42" xfId="0" applyFill="1" applyBorder="1"/>
    <xf numFmtId="0" fontId="0" fillId="7" borderId="56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165" fontId="0" fillId="0" borderId="54" xfId="1" applyNumberFormat="1" applyFont="1" applyBorder="1"/>
    <xf numFmtId="165" fontId="0" fillId="0" borderId="55" xfId="1" applyNumberFormat="1" applyFont="1" applyBorder="1"/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165" fontId="5" fillId="6" borderId="1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vertical="center"/>
    </xf>
    <xf numFmtId="165" fontId="7" fillId="11" borderId="51" xfId="0" applyNumberFormat="1" applyFont="1" applyFill="1" applyBorder="1" applyAlignment="1">
      <alignment vertical="center"/>
    </xf>
    <xf numFmtId="165" fontId="7" fillId="11" borderId="7" xfId="0" applyNumberFormat="1" applyFont="1" applyFill="1" applyBorder="1" applyAlignment="1">
      <alignment vertical="center"/>
    </xf>
    <xf numFmtId="165" fontId="7" fillId="11" borderId="52" xfId="1" applyNumberFormat="1" applyFont="1" applyFill="1" applyBorder="1" applyAlignment="1">
      <alignment vertical="center"/>
    </xf>
    <xf numFmtId="165" fontId="7" fillId="11" borderId="50" xfId="0" applyNumberFormat="1" applyFont="1" applyFill="1" applyBorder="1" applyAlignment="1">
      <alignment vertical="center"/>
    </xf>
    <xf numFmtId="165" fontId="7" fillId="11" borderId="46" xfId="0" applyNumberFormat="1" applyFont="1" applyFill="1" applyBorder="1" applyAlignment="1">
      <alignment vertical="center"/>
    </xf>
    <xf numFmtId="165" fontId="7" fillId="11" borderId="53" xfId="0" applyNumberFormat="1" applyFont="1" applyFill="1" applyBorder="1" applyAlignment="1">
      <alignment vertical="center"/>
    </xf>
    <xf numFmtId="166" fontId="0" fillId="0" borderId="6" xfId="1" applyNumberFormat="1" applyFont="1" applyBorder="1" applyAlignment="1">
      <alignment horizontal="center" vertical="center"/>
    </xf>
    <xf numFmtId="165" fontId="0" fillId="0" borderId="34" xfId="1" applyNumberFormat="1" applyFont="1" applyBorder="1"/>
    <xf numFmtId="165" fontId="0" fillId="0" borderId="34" xfId="0" applyNumberFormat="1" applyBorder="1"/>
    <xf numFmtId="0" fontId="0" fillId="0" borderId="36" xfId="0" applyBorder="1"/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5" fontId="8" fillId="0" borderId="12" xfId="1" applyNumberFormat="1" applyFont="1" applyFill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9" fontId="8" fillId="0" borderId="12" xfId="2" applyFont="1" applyFill="1" applyBorder="1" applyAlignment="1">
      <alignment horizontal="center" vertical="center"/>
    </xf>
    <xf numFmtId="165" fontId="8" fillId="0" borderId="37" xfId="1" applyNumberFormat="1" applyFont="1" applyBorder="1" applyAlignment="1">
      <alignment horizontal="center" vertical="center"/>
    </xf>
    <xf numFmtId="165" fontId="8" fillId="0" borderId="22" xfId="1" applyNumberFormat="1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8" fillId="0" borderId="9" xfId="1" applyNumberFormat="1" applyFont="1" applyFill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165" fontId="8" fillId="0" borderId="38" xfId="1" applyNumberFormat="1" applyFont="1" applyBorder="1" applyAlignment="1">
      <alignment horizontal="center" vertical="center"/>
    </xf>
    <xf numFmtId="165" fontId="8" fillId="0" borderId="23" xfId="1" applyNumberFormat="1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1" applyNumberFormat="1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165" fontId="8" fillId="0" borderId="39" xfId="1" applyNumberFormat="1" applyFont="1" applyBorder="1" applyAlignment="1">
      <alignment horizontal="center" vertical="center"/>
    </xf>
    <xf numFmtId="165" fontId="8" fillId="0" borderId="30" xfId="1" applyNumberFormat="1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5" fontId="8" fillId="8" borderId="2" xfId="1" applyNumberFormat="1" applyFont="1" applyFill="1" applyBorder="1" applyAlignment="1">
      <alignment horizontal="center" vertical="center"/>
    </xf>
    <xf numFmtId="9" fontId="8" fillId="8" borderId="2" xfId="2" applyFont="1" applyFill="1" applyBorder="1" applyAlignment="1">
      <alignment horizontal="center" vertical="center"/>
    </xf>
    <xf numFmtId="165" fontId="8" fillId="8" borderId="30" xfId="1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/>
    </xf>
    <xf numFmtId="165" fontId="8" fillId="8" borderId="35" xfId="1" applyNumberFormat="1" applyFont="1" applyFill="1" applyBorder="1" applyAlignment="1">
      <alignment horizontal="center" vertical="center"/>
    </xf>
    <xf numFmtId="165" fontId="8" fillId="8" borderId="35" xfId="0" applyNumberFormat="1" applyFont="1" applyFill="1" applyBorder="1" applyAlignment="1">
      <alignment horizontal="center" vertical="center"/>
    </xf>
    <xf numFmtId="9" fontId="8" fillId="8" borderId="35" xfId="2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65" fontId="8" fillId="0" borderId="25" xfId="1" applyNumberFormat="1" applyFont="1" applyFill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9" fontId="8" fillId="0" borderId="25" xfId="2" applyFont="1" applyFill="1" applyBorder="1" applyAlignment="1">
      <alignment horizontal="center" vertical="center"/>
    </xf>
    <xf numFmtId="165" fontId="8" fillId="0" borderId="41" xfId="1" applyNumberFormat="1" applyFont="1" applyBorder="1" applyAlignment="1">
      <alignment horizontal="center" vertical="center"/>
    </xf>
    <xf numFmtId="165" fontId="8" fillId="0" borderId="26" xfId="1" applyNumberFormat="1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65" fontId="10" fillId="8" borderId="2" xfId="1" applyNumberFormat="1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165" fontId="10" fillId="12" borderId="2" xfId="1" applyNumberFormat="1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165" fontId="13" fillId="13" borderId="2" xfId="1" applyNumberFormat="1" applyFont="1" applyFill="1" applyBorder="1" applyAlignment="1">
      <alignment horizontal="center" vertical="center"/>
    </xf>
    <xf numFmtId="166" fontId="2" fillId="2" borderId="48" xfId="1" applyNumberFormat="1" applyFont="1" applyFill="1" applyBorder="1" applyAlignment="1">
      <alignment horizontal="center" vertical="center" wrapText="1"/>
    </xf>
    <xf numFmtId="165" fontId="8" fillId="0" borderId="37" xfId="0" applyNumberFormat="1" applyFont="1" applyBorder="1" applyAlignment="1">
      <alignment horizontal="center" vertical="center"/>
    </xf>
    <xf numFmtId="165" fontId="8" fillId="0" borderId="38" xfId="0" applyNumberFormat="1" applyFont="1" applyBorder="1" applyAlignment="1">
      <alignment horizontal="center" vertical="center"/>
    </xf>
    <xf numFmtId="165" fontId="8" fillId="0" borderId="39" xfId="0" applyNumberFormat="1" applyFont="1" applyBorder="1" applyAlignment="1">
      <alignment horizontal="center" vertical="center"/>
    </xf>
    <xf numFmtId="165" fontId="10" fillId="12" borderId="39" xfId="1" applyNumberFormat="1" applyFont="1" applyFill="1" applyBorder="1" applyAlignment="1">
      <alignment horizontal="center" vertical="center"/>
    </xf>
    <xf numFmtId="165" fontId="8" fillId="0" borderId="41" xfId="0" applyNumberFormat="1" applyFont="1" applyBorder="1" applyAlignment="1">
      <alignment horizontal="center" vertical="center"/>
    </xf>
    <xf numFmtId="165" fontId="2" fillId="2" borderId="21" xfId="1" applyNumberFormat="1" applyFont="1" applyFill="1" applyBorder="1" applyAlignment="1">
      <alignment horizontal="center" vertical="center" wrapText="1"/>
    </xf>
    <xf numFmtId="165" fontId="2" fillId="2" borderId="42" xfId="1" applyNumberFormat="1" applyFont="1" applyFill="1" applyBorder="1" applyAlignment="1">
      <alignment horizontal="center" vertical="center" wrapText="1"/>
    </xf>
    <xf numFmtId="165" fontId="8" fillId="0" borderId="11" xfId="1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8" fillId="8" borderId="1" xfId="1" applyNumberFormat="1" applyFont="1" applyFill="1" applyBorder="1" applyAlignment="1">
      <alignment horizontal="center" vertical="center"/>
    </xf>
    <xf numFmtId="165" fontId="8" fillId="0" borderId="20" xfId="1" applyNumberFormat="1" applyFont="1" applyBorder="1" applyAlignment="1">
      <alignment horizontal="center" vertical="center"/>
    </xf>
    <xf numFmtId="165" fontId="8" fillId="8" borderId="46" xfId="1" applyNumberFormat="1" applyFont="1" applyFill="1" applyBorder="1" applyAlignment="1">
      <alignment horizontal="center" vertical="center"/>
    </xf>
    <xf numFmtId="165" fontId="8" fillId="8" borderId="50" xfId="1" applyNumberFormat="1" applyFont="1" applyFill="1" applyBorder="1" applyAlignment="1">
      <alignment horizontal="center" vertical="center"/>
    </xf>
    <xf numFmtId="165" fontId="8" fillId="8" borderId="53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165" fontId="14" fillId="2" borderId="10" xfId="1" applyNumberFormat="1" applyFont="1" applyFill="1" applyBorder="1" applyAlignment="1">
      <alignment horizontal="center" vertical="center" wrapText="1"/>
    </xf>
    <xf numFmtId="166" fontId="14" fillId="2" borderId="10" xfId="1" applyNumberFormat="1" applyFont="1" applyFill="1" applyBorder="1" applyAlignment="1">
      <alignment horizontal="center" vertical="center" wrapText="1"/>
    </xf>
    <xf numFmtId="9" fontId="14" fillId="2" borderId="10" xfId="2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2" xfId="1" applyNumberFormat="1" applyFont="1" applyFill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9" fontId="12" fillId="0" borderId="12" xfId="2" applyFont="1" applyFill="1" applyBorder="1" applyAlignment="1">
      <alignment horizontal="center" vertical="center"/>
    </xf>
    <xf numFmtId="165" fontId="12" fillId="0" borderId="12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12" fillId="0" borderId="9" xfId="1" applyNumberFormat="1" applyFont="1" applyFill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9" fontId="12" fillId="0" borderId="9" xfId="2" applyFont="1" applyFill="1" applyBorder="1" applyAlignment="1">
      <alignment horizontal="center" vertical="center"/>
    </xf>
    <xf numFmtId="165" fontId="12" fillId="0" borderId="9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65" fontId="12" fillId="0" borderId="25" xfId="1" applyNumberFormat="1" applyFont="1" applyFill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/>
    </xf>
    <xf numFmtId="9" fontId="12" fillId="0" borderId="25" xfId="2" applyFont="1" applyFill="1" applyBorder="1" applyAlignment="1">
      <alignment horizontal="center" vertical="center"/>
    </xf>
    <xf numFmtId="165" fontId="12" fillId="0" borderId="25" xfId="1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165" fontId="12" fillId="0" borderId="28" xfId="1" applyNumberFormat="1" applyFont="1" applyFill="1" applyBorder="1" applyAlignment="1">
      <alignment horizontal="center" vertical="center"/>
    </xf>
    <xf numFmtId="165" fontId="12" fillId="0" borderId="28" xfId="0" applyNumberFormat="1" applyFont="1" applyBorder="1" applyAlignment="1">
      <alignment horizontal="center" vertical="center"/>
    </xf>
    <xf numFmtId="9" fontId="12" fillId="0" borderId="28" xfId="2" applyFont="1" applyFill="1" applyBorder="1" applyAlignment="1">
      <alignment horizontal="center" vertical="center"/>
    </xf>
    <xf numFmtId="165" fontId="12" fillId="0" borderId="28" xfId="1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2" fillId="8" borderId="2" xfId="1" applyNumberFormat="1" applyFont="1" applyFill="1" applyBorder="1" applyAlignment="1">
      <alignment horizontal="center" vertical="center"/>
    </xf>
    <xf numFmtId="165" fontId="12" fillId="8" borderId="30" xfId="1" applyNumberFormat="1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165" fontId="12" fillId="0" borderId="35" xfId="1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65" fontId="12" fillId="0" borderId="15" xfId="1" applyNumberFormat="1" applyFont="1" applyFill="1" applyBorder="1" applyAlignment="1">
      <alignment horizontal="center" vertical="center"/>
    </xf>
    <xf numFmtId="165" fontId="12" fillId="0" borderId="15" xfId="0" applyNumberFormat="1" applyFont="1" applyBorder="1" applyAlignment="1">
      <alignment horizontal="center" vertical="center"/>
    </xf>
    <xf numFmtId="9" fontId="12" fillId="0" borderId="15" xfId="2" applyFont="1" applyFill="1" applyBorder="1" applyAlignment="1">
      <alignment horizontal="center" vertical="center"/>
    </xf>
    <xf numFmtId="165" fontId="12" fillId="0" borderId="15" xfId="1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/>
    </xf>
    <xf numFmtId="165" fontId="12" fillId="8" borderId="10" xfId="0" applyNumberFormat="1" applyFont="1" applyFill="1" applyBorder="1" applyAlignment="1">
      <alignment horizontal="center" vertical="center"/>
    </xf>
    <xf numFmtId="165" fontId="12" fillId="8" borderId="42" xfId="1" applyNumberFormat="1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 wrapText="1"/>
    </xf>
    <xf numFmtId="165" fontId="12" fillId="8" borderId="2" xfId="0" applyNumberFormat="1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9" fontId="12" fillId="14" borderId="12" xfId="2" applyFont="1" applyFill="1" applyBorder="1" applyAlignment="1">
      <alignment horizontal="center" vertical="center"/>
    </xf>
    <xf numFmtId="9" fontId="12" fillId="14" borderId="28" xfId="2" applyFont="1" applyFill="1" applyBorder="1" applyAlignment="1">
      <alignment horizontal="center" vertical="center"/>
    </xf>
    <xf numFmtId="9" fontId="12" fillId="14" borderId="9" xfId="2" applyFont="1" applyFill="1" applyBorder="1" applyAlignment="1">
      <alignment horizontal="center" vertical="center"/>
    </xf>
    <xf numFmtId="9" fontId="12" fillId="14" borderId="25" xfId="2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65" fontId="4" fillId="9" borderId="16" xfId="1" applyNumberFormat="1" applyFont="1" applyFill="1" applyBorder="1" applyAlignment="1">
      <alignment horizontal="center" vertical="center"/>
    </xf>
    <xf numFmtId="165" fontId="4" fillId="9" borderId="43" xfId="1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165" fontId="5" fillId="6" borderId="18" xfId="0" applyNumberFormat="1" applyFont="1" applyFill="1" applyBorder="1" applyAlignment="1">
      <alignment horizontal="center" vertical="center" wrapText="1"/>
    </xf>
    <xf numFmtId="165" fontId="5" fillId="6" borderId="5" xfId="0" applyNumberFormat="1" applyFont="1" applyFill="1" applyBorder="1" applyAlignment="1">
      <alignment horizontal="center" vertical="center" wrapText="1"/>
    </xf>
    <xf numFmtId="165" fontId="5" fillId="6" borderId="4" xfId="0" applyNumberFormat="1" applyFont="1" applyFill="1" applyBorder="1" applyAlignment="1">
      <alignment horizontal="center" vertical="center" wrapText="1"/>
    </xf>
    <xf numFmtId="165" fontId="5" fillId="6" borderId="8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7" borderId="4" xfId="0" applyNumberFormat="1" applyFill="1" applyBorder="1" applyAlignment="1">
      <alignment horizontal="center" vertical="center" wrapText="1"/>
    </xf>
    <xf numFmtId="165" fontId="0" fillId="7" borderId="6" xfId="0" applyNumberFormat="1" applyFill="1" applyBorder="1" applyAlignment="1">
      <alignment horizontal="center" vertical="center" wrapText="1"/>
    </xf>
    <xf numFmtId="165" fontId="0" fillId="7" borderId="8" xfId="0" applyNumberFormat="1" applyFill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9" fillId="3" borderId="3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F6AF-02E2-0B44-9E9C-0BDFAE71FD5B}">
  <dimension ref="A1:X51"/>
  <sheetViews>
    <sheetView rightToLeft="1" tabSelected="1" zoomScale="92" zoomScaleNormal="110" workbookViewId="0">
      <selection sqref="A1:Q41"/>
    </sheetView>
  </sheetViews>
  <sheetFormatPr baseColWidth="10" defaultColWidth="30.140625" defaultRowHeight="16" x14ac:dyDescent="0.2"/>
  <cols>
    <col min="1" max="1" width="31.5703125" style="2" bestFit="1" customWidth="1"/>
    <col min="2" max="2" width="5.7109375" bestFit="1" customWidth="1"/>
    <col min="3" max="3" width="17.28515625" bestFit="1" customWidth="1"/>
    <col min="4" max="4" width="7.140625" bestFit="1" customWidth="1"/>
    <col min="5" max="7" width="16.140625" bestFit="1" customWidth="1"/>
    <col min="8" max="8" width="8" bestFit="1" customWidth="1"/>
    <col min="9" max="9" width="17.7109375" bestFit="1" customWidth="1"/>
    <col min="10" max="10" width="16.42578125" bestFit="1" customWidth="1"/>
    <col min="11" max="11" width="18.42578125" customWidth="1"/>
    <col min="12" max="12" width="17.42578125" customWidth="1"/>
    <col min="13" max="13" width="16.140625" bestFit="1" customWidth="1"/>
    <col min="14" max="14" width="18.28515625" customWidth="1"/>
    <col min="15" max="15" width="11.140625" style="43" bestFit="1" customWidth="1"/>
    <col min="16" max="16" width="11.7109375" style="43" bestFit="1" customWidth="1"/>
    <col min="17" max="17" width="12.85546875" style="43" bestFit="1" customWidth="1"/>
    <col min="18" max="18" width="12.7109375" style="2" customWidth="1"/>
    <col min="19" max="19" width="14.42578125" style="2" customWidth="1"/>
    <col min="20" max="20" width="22.5703125" bestFit="1" customWidth="1"/>
    <col min="21" max="21" width="14" bestFit="1" customWidth="1"/>
    <col min="22" max="22" width="18.5703125" bestFit="1" customWidth="1"/>
    <col min="23" max="23" width="10.28515625" bestFit="1" customWidth="1"/>
    <col min="24" max="24" width="8.28515625" bestFit="1" customWidth="1"/>
    <col min="25" max="25" width="12.42578125" customWidth="1"/>
    <col min="26" max="26" width="12.28515625" customWidth="1"/>
    <col min="27" max="27" width="12.140625" customWidth="1"/>
    <col min="28" max="28" width="12.5703125" customWidth="1"/>
    <col min="34" max="34" width="10.28515625" bestFit="1" customWidth="1"/>
    <col min="35" max="35" width="8.28515625" bestFit="1" customWidth="1"/>
  </cols>
  <sheetData>
    <row r="1" spans="1:24" s="2" customFormat="1" ht="67" thickBot="1" x14ac:dyDescent="0.25">
      <c r="A1" s="128"/>
      <c r="B1" s="7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10" t="s">
        <v>5</v>
      </c>
      <c r="H1" s="11" t="s">
        <v>6</v>
      </c>
      <c r="I1" s="10" t="s">
        <v>7</v>
      </c>
      <c r="J1" s="10" t="s">
        <v>8</v>
      </c>
      <c r="K1" s="9" t="s">
        <v>9</v>
      </c>
      <c r="L1" s="10" t="s">
        <v>10</v>
      </c>
      <c r="M1" s="10" t="s">
        <v>11</v>
      </c>
      <c r="N1" s="180" t="s">
        <v>99</v>
      </c>
      <c r="O1" s="186" t="s">
        <v>68</v>
      </c>
      <c r="P1" s="9" t="s">
        <v>69</v>
      </c>
      <c r="Q1" s="187" t="s">
        <v>93</v>
      </c>
      <c r="W1" s="3" t="s">
        <v>37</v>
      </c>
      <c r="X1" s="3" t="s">
        <v>38</v>
      </c>
    </row>
    <row r="2" spans="1:24" x14ac:dyDescent="0.2">
      <c r="A2" s="252" t="s">
        <v>13</v>
      </c>
      <c r="B2" s="129">
        <v>1</v>
      </c>
      <c r="C2" s="130" t="s">
        <v>14</v>
      </c>
      <c r="D2" s="130">
        <v>1996</v>
      </c>
      <c r="E2" s="131">
        <v>0</v>
      </c>
      <c r="F2" s="131">
        <v>750000</v>
      </c>
      <c r="G2" s="132">
        <f t="shared" ref="G2:G6" si="0">(F2-E2)*$W$2+E2</f>
        <v>577500</v>
      </c>
      <c r="H2" s="133">
        <v>1</v>
      </c>
      <c r="I2" s="132">
        <f t="shared" ref="I2:I6" si="1">F2*H2</f>
        <v>750000</v>
      </c>
      <c r="J2" s="132">
        <f t="shared" ref="J2:J6" si="2">G2*H2</f>
        <v>577500</v>
      </c>
      <c r="K2" s="131">
        <v>0</v>
      </c>
      <c r="L2" s="132">
        <f t="shared" ref="L2:L6" si="3">K2*H2</f>
        <v>0</v>
      </c>
      <c r="M2" s="132">
        <f t="shared" ref="M2:M6" si="4">I2-L2</f>
        <v>750000</v>
      </c>
      <c r="N2" s="181">
        <f t="shared" ref="N2:N6" si="5">J2-L2</f>
        <v>577500</v>
      </c>
      <c r="O2" s="188"/>
      <c r="P2" s="134"/>
      <c r="Q2" s="135"/>
      <c r="R2"/>
      <c r="S2"/>
      <c r="W2" s="1">
        <v>0.77</v>
      </c>
      <c r="X2">
        <v>12</v>
      </c>
    </row>
    <row r="3" spans="1:24" x14ac:dyDescent="0.2">
      <c r="A3" s="253"/>
      <c r="B3" s="137">
        <v>2</v>
      </c>
      <c r="C3" s="138" t="s">
        <v>15</v>
      </c>
      <c r="D3" s="138">
        <v>2006</v>
      </c>
      <c r="E3" s="139">
        <v>420000</v>
      </c>
      <c r="F3" s="139">
        <v>2000000</v>
      </c>
      <c r="G3" s="140">
        <f t="shared" si="0"/>
        <v>1636600</v>
      </c>
      <c r="H3" s="141">
        <v>1</v>
      </c>
      <c r="I3" s="140">
        <f t="shared" si="1"/>
        <v>2000000</v>
      </c>
      <c r="J3" s="140">
        <f t="shared" si="2"/>
        <v>1636600</v>
      </c>
      <c r="K3" s="139">
        <v>0</v>
      </c>
      <c r="L3" s="140">
        <f t="shared" si="3"/>
        <v>0</v>
      </c>
      <c r="M3" s="140">
        <f t="shared" si="4"/>
        <v>2000000</v>
      </c>
      <c r="N3" s="182">
        <f t="shared" si="5"/>
        <v>1636600</v>
      </c>
      <c r="O3" s="189"/>
      <c r="P3" s="142"/>
      <c r="Q3" s="143"/>
      <c r="R3"/>
      <c r="S3"/>
      <c r="W3" s="1">
        <v>0.9</v>
      </c>
    </row>
    <row r="4" spans="1:24" x14ac:dyDescent="0.2">
      <c r="A4" s="253"/>
      <c r="B4" s="137">
        <v>3</v>
      </c>
      <c r="C4" s="138" t="s">
        <v>16</v>
      </c>
      <c r="D4" s="138">
        <v>2005</v>
      </c>
      <c r="E4" s="139">
        <v>130000</v>
      </c>
      <c r="F4" s="139">
        <v>900000</v>
      </c>
      <c r="G4" s="140">
        <f t="shared" si="0"/>
        <v>722900</v>
      </c>
      <c r="H4" s="141">
        <v>1</v>
      </c>
      <c r="I4" s="140">
        <f t="shared" si="1"/>
        <v>900000</v>
      </c>
      <c r="J4" s="140">
        <f t="shared" si="2"/>
        <v>722900</v>
      </c>
      <c r="K4" s="139">
        <v>0</v>
      </c>
      <c r="L4" s="140">
        <f t="shared" si="3"/>
        <v>0</v>
      </c>
      <c r="M4" s="140">
        <f t="shared" si="4"/>
        <v>900000</v>
      </c>
      <c r="N4" s="182">
        <f t="shared" si="5"/>
        <v>722900</v>
      </c>
      <c r="O4" s="189"/>
      <c r="P4" s="142"/>
      <c r="Q4" s="143"/>
      <c r="R4"/>
      <c r="S4"/>
    </row>
    <row r="5" spans="1:24" ht="17" thickBot="1" x14ac:dyDescent="0.25">
      <c r="A5" s="253"/>
      <c r="B5" s="137">
        <v>4</v>
      </c>
      <c r="C5" s="138" t="s">
        <v>17</v>
      </c>
      <c r="D5" s="138">
        <v>2016</v>
      </c>
      <c r="E5" s="139">
        <v>2500000</v>
      </c>
      <c r="F5" s="139">
        <v>7000000</v>
      </c>
      <c r="G5" s="140">
        <f t="shared" si="0"/>
        <v>5965000</v>
      </c>
      <c r="H5" s="141">
        <v>0.33</v>
      </c>
      <c r="I5" s="140">
        <f t="shared" si="1"/>
        <v>2310000</v>
      </c>
      <c r="J5" s="140">
        <f t="shared" si="2"/>
        <v>1968450</v>
      </c>
      <c r="K5" s="139">
        <v>0</v>
      </c>
      <c r="L5" s="140">
        <f t="shared" si="3"/>
        <v>0</v>
      </c>
      <c r="M5" s="140">
        <f t="shared" si="4"/>
        <v>2310000</v>
      </c>
      <c r="N5" s="182">
        <f t="shared" si="5"/>
        <v>1968450</v>
      </c>
      <c r="O5" s="189"/>
      <c r="P5" s="142"/>
      <c r="Q5" s="143"/>
      <c r="R5"/>
      <c r="S5"/>
    </row>
    <row r="6" spans="1:24" ht="25" thickBot="1" x14ac:dyDescent="0.25">
      <c r="A6" s="144" t="s">
        <v>62</v>
      </c>
      <c r="B6" s="145">
        <v>1</v>
      </c>
      <c r="C6" s="146" t="s">
        <v>29</v>
      </c>
      <c r="D6" s="146">
        <v>2019</v>
      </c>
      <c r="E6" s="147">
        <v>1450000</v>
      </c>
      <c r="F6" s="147">
        <v>3000000</v>
      </c>
      <c r="G6" s="148">
        <f t="shared" si="0"/>
        <v>2643500</v>
      </c>
      <c r="H6" s="149">
        <v>0.5</v>
      </c>
      <c r="I6" s="148">
        <f t="shared" si="1"/>
        <v>1500000</v>
      </c>
      <c r="J6" s="148">
        <f t="shared" si="2"/>
        <v>1321750</v>
      </c>
      <c r="K6" s="147">
        <v>0</v>
      </c>
      <c r="L6" s="148">
        <f t="shared" si="3"/>
        <v>0</v>
      </c>
      <c r="M6" s="148">
        <f t="shared" si="4"/>
        <v>1500000</v>
      </c>
      <c r="N6" s="183">
        <f t="shared" si="5"/>
        <v>1321750</v>
      </c>
      <c r="O6" s="190"/>
      <c r="P6" s="150"/>
      <c r="Q6" s="143"/>
      <c r="R6"/>
      <c r="S6"/>
    </row>
    <row r="7" spans="1:24" ht="25" thickBot="1" x14ac:dyDescent="0.25">
      <c r="A7" s="152" t="s">
        <v>80</v>
      </c>
      <c r="B7" s="153"/>
      <c r="C7" s="154"/>
      <c r="D7" s="154"/>
      <c r="E7" s="155">
        <f>SUM(E2:E6)</f>
        <v>4500000</v>
      </c>
      <c r="F7" s="175">
        <f>SUM(F2:F6)</f>
        <v>13650000</v>
      </c>
      <c r="G7" s="155">
        <f>SUM(G2:G6)</f>
        <v>11545500</v>
      </c>
      <c r="H7" s="156" t="s">
        <v>102</v>
      </c>
      <c r="I7" s="155">
        <f t="shared" ref="I7:P7" si="6">SUM(I2:I6)</f>
        <v>7460000</v>
      </c>
      <c r="J7" s="155">
        <f t="shared" si="6"/>
        <v>6227200</v>
      </c>
      <c r="K7" s="155">
        <f t="shared" si="6"/>
        <v>0</v>
      </c>
      <c r="L7" s="155">
        <f t="shared" si="6"/>
        <v>0</v>
      </c>
      <c r="M7" s="155">
        <f t="shared" si="6"/>
        <v>7460000</v>
      </c>
      <c r="N7" s="184">
        <f t="shared" si="6"/>
        <v>6227200</v>
      </c>
      <c r="O7" s="191"/>
      <c r="P7" s="155"/>
      <c r="Q7" s="157"/>
      <c r="R7"/>
      <c r="S7"/>
    </row>
    <row r="8" spans="1:24" ht="25" thickBot="1" x14ac:dyDescent="0.25">
      <c r="A8" s="158" t="s">
        <v>63</v>
      </c>
      <c r="B8" s="159">
        <v>1</v>
      </c>
      <c r="C8" s="160" t="s">
        <v>65</v>
      </c>
      <c r="D8" s="160">
        <v>2021</v>
      </c>
      <c r="E8" s="161">
        <v>30000000</v>
      </c>
      <c r="F8" s="175">
        <v>35000000</v>
      </c>
      <c r="G8" s="162">
        <f>(F8-E8)*$W$2+E8</f>
        <v>33850000</v>
      </c>
      <c r="H8" s="163">
        <v>0.16700000000000001</v>
      </c>
      <c r="I8" s="162">
        <f>F8*H8</f>
        <v>5845000</v>
      </c>
      <c r="J8" s="162">
        <f>G8*H8</f>
        <v>5652950</v>
      </c>
      <c r="K8" s="161">
        <v>15000000</v>
      </c>
      <c r="L8" s="162">
        <f>K8*H8</f>
        <v>2505000</v>
      </c>
      <c r="M8" s="162">
        <f>I8-L8</f>
        <v>3340000</v>
      </c>
      <c r="N8" s="184">
        <f>J8-L8</f>
        <v>3147950</v>
      </c>
      <c r="O8" s="191"/>
      <c r="P8" s="155"/>
      <c r="Q8" s="157"/>
      <c r="R8"/>
      <c r="S8"/>
    </row>
    <row r="9" spans="1:24" x14ac:dyDescent="0.2">
      <c r="A9" s="254" t="s">
        <v>20</v>
      </c>
      <c r="B9" s="129">
        <v>1</v>
      </c>
      <c r="C9" s="130" t="s">
        <v>21</v>
      </c>
      <c r="D9" s="130">
        <v>2016</v>
      </c>
      <c r="E9" s="131">
        <v>7000000</v>
      </c>
      <c r="F9" s="131">
        <v>25000000</v>
      </c>
      <c r="G9" s="132">
        <f>(F9-E9)*$W$2+E9</f>
        <v>20860000</v>
      </c>
      <c r="H9" s="133">
        <v>0.25</v>
      </c>
      <c r="I9" s="132">
        <f>F9*H9</f>
        <v>6250000</v>
      </c>
      <c r="J9" s="132">
        <f>G9*H9</f>
        <v>5215000</v>
      </c>
      <c r="K9" s="131">
        <v>9700000</v>
      </c>
      <c r="L9" s="132">
        <f>K9*H9</f>
        <v>2425000</v>
      </c>
      <c r="M9" s="132">
        <f>I9-L9</f>
        <v>3825000</v>
      </c>
      <c r="N9" s="181">
        <f>J9-L9</f>
        <v>2790000</v>
      </c>
      <c r="O9" s="188"/>
      <c r="P9" s="134"/>
      <c r="Q9" s="135"/>
      <c r="R9"/>
      <c r="S9"/>
    </row>
    <row r="10" spans="1:24" ht="17" thickBot="1" x14ac:dyDescent="0.25">
      <c r="A10" s="255"/>
      <c r="B10" s="164">
        <v>2</v>
      </c>
      <c r="C10" s="165" t="s">
        <v>22</v>
      </c>
      <c r="D10" s="165">
        <v>2019</v>
      </c>
      <c r="E10" s="166">
        <v>18000000</v>
      </c>
      <c r="F10" s="166">
        <v>30000000</v>
      </c>
      <c r="G10" s="167">
        <f>(F10-E10)*$W$2+E10</f>
        <v>27240000</v>
      </c>
      <c r="H10" s="168">
        <v>0.25</v>
      </c>
      <c r="I10" s="167">
        <f>F10*H10</f>
        <v>7500000</v>
      </c>
      <c r="J10" s="167">
        <f>G10*H10</f>
        <v>6810000</v>
      </c>
      <c r="K10" s="166">
        <v>9750000</v>
      </c>
      <c r="L10" s="167">
        <f>K10*H10</f>
        <v>2437500</v>
      </c>
      <c r="M10" s="167">
        <f>I10-L10</f>
        <v>5062500</v>
      </c>
      <c r="N10" s="185">
        <f>J10-L10</f>
        <v>4372500</v>
      </c>
      <c r="O10" s="192"/>
      <c r="P10" s="169"/>
      <c r="Q10" s="170"/>
      <c r="R10"/>
      <c r="S10"/>
    </row>
    <row r="11" spans="1:24" ht="25" thickBot="1" x14ac:dyDescent="0.25">
      <c r="A11" s="171" t="s">
        <v>33</v>
      </c>
      <c r="B11" s="153"/>
      <c r="C11" s="154"/>
      <c r="D11" s="154"/>
      <c r="E11" s="155">
        <f>SUM(E9:E10)</f>
        <v>25000000</v>
      </c>
      <c r="F11" s="175">
        <f t="shared" ref="F11:P11" si="7">SUM(F9:F10)</f>
        <v>55000000</v>
      </c>
      <c r="G11" s="155">
        <f t="shared" si="7"/>
        <v>48100000</v>
      </c>
      <c r="H11" s="155" t="s">
        <v>102</v>
      </c>
      <c r="I11" s="155">
        <f t="shared" si="7"/>
        <v>13750000</v>
      </c>
      <c r="J11" s="155">
        <f t="shared" si="7"/>
        <v>12025000</v>
      </c>
      <c r="K11" s="155">
        <f t="shared" si="7"/>
        <v>19450000</v>
      </c>
      <c r="L11" s="155">
        <f t="shared" si="7"/>
        <v>4862500</v>
      </c>
      <c r="M11" s="155">
        <f t="shared" si="7"/>
        <v>8887500</v>
      </c>
      <c r="N11" s="184">
        <f t="shared" si="7"/>
        <v>7162500</v>
      </c>
      <c r="O11" s="191"/>
      <c r="P11" s="155"/>
      <c r="Q11" s="157"/>
      <c r="R11"/>
      <c r="S11"/>
    </row>
    <row r="12" spans="1:24" ht="17" customHeight="1" thickBot="1" x14ac:dyDescent="0.25">
      <c r="A12" s="252" t="s">
        <v>64</v>
      </c>
      <c r="B12" s="146">
        <v>1</v>
      </c>
      <c r="C12" s="146" t="s">
        <v>133</v>
      </c>
      <c r="D12" s="146">
        <v>2022</v>
      </c>
      <c r="E12" s="147">
        <v>1300000</v>
      </c>
      <c r="F12" s="147">
        <v>1300000</v>
      </c>
      <c r="G12" s="148">
        <f>(F12-E12)*$W$2+E12</f>
        <v>1300000</v>
      </c>
      <c r="H12" s="149">
        <v>0.5</v>
      </c>
      <c r="I12" s="148">
        <f t="shared" ref="I12:I34" si="8">F12*H12</f>
        <v>650000</v>
      </c>
      <c r="J12" s="148">
        <f t="shared" ref="J12:J34" si="9">G12*H12</f>
        <v>650000</v>
      </c>
      <c r="K12" s="147">
        <v>0</v>
      </c>
      <c r="L12" s="148">
        <f>K12*H12</f>
        <v>0</v>
      </c>
      <c r="M12" s="148">
        <f>I12-L12</f>
        <v>650000</v>
      </c>
      <c r="N12" s="183">
        <f>J12-L12</f>
        <v>650000</v>
      </c>
      <c r="O12" s="190"/>
      <c r="P12" s="150"/>
      <c r="Q12" s="151"/>
      <c r="R12"/>
      <c r="S12"/>
    </row>
    <row r="13" spans="1:24" ht="17" customHeight="1" thickBot="1" x14ac:dyDescent="0.25">
      <c r="A13" s="253"/>
      <c r="B13" s="172">
        <v>2</v>
      </c>
      <c r="C13" s="146" t="s">
        <v>134</v>
      </c>
      <c r="D13" s="146">
        <v>2025</v>
      </c>
      <c r="E13" s="147">
        <v>1512000</v>
      </c>
      <c r="F13" s="147">
        <v>1600000</v>
      </c>
      <c r="G13" s="148">
        <f>(F13-E13)*$W$2+E13</f>
        <v>1579760</v>
      </c>
      <c r="H13" s="149">
        <v>0.5</v>
      </c>
      <c r="I13" s="148">
        <f t="shared" si="8"/>
        <v>800000</v>
      </c>
      <c r="J13" s="148">
        <f t="shared" si="9"/>
        <v>789880</v>
      </c>
      <c r="K13" s="147">
        <v>0</v>
      </c>
      <c r="L13" s="148">
        <f>K13*H13</f>
        <v>0</v>
      </c>
      <c r="M13" s="148">
        <f>I13-L13</f>
        <v>800000</v>
      </c>
      <c r="N13" s="183">
        <f>J13-L13</f>
        <v>789880</v>
      </c>
      <c r="O13" s="190"/>
      <c r="P13" s="150"/>
      <c r="Q13" s="151"/>
      <c r="R13"/>
      <c r="S13"/>
    </row>
    <row r="14" spans="1:24" ht="17" customHeight="1" thickBot="1" x14ac:dyDescent="0.25">
      <c r="A14" s="253"/>
      <c r="B14" s="172">
        <v>3</v>
      </c>
      <c r="C14" s="146" t="s">
        <v>135</v>
      </c>
      <c r="D14" s="146">
        <v>2023</v>
      </c>
      <c r="E14" s="147">
        <v>144000</v>
      </c>
      <c r="F14" s="147">
        <v>270000</v>
      </c>
      <c r="G14" s="148">
        <f>(F14-E14)*$W$2+E14</f>
        <v>241020</v>
      </c>
      <c r="H14" s="149">
        <v>0.5</v>
      </c>
      <c r="I14" s="148">
        <f t="shared" si="8"/>
        <v>135000</v>
      </c>
      <c r="J14" s="148">
        <f t="shared" si="9"/>
        <v>120510</v>
      </c>
      <c r="K14" s="147">
        <v>0</v>
      </c>
      <c r="L14" s="148">
        <f>K14*H14</f>
        <v>0</v>
      </c>
      <c r="M14" s="148">
        <f>I14-L14</f>
        <v>135000</v>
      </c>
      <c r="N14" s="183">
        <f>J14-L14</f>
        <v>120510</v>
      </c>
      <c r="O14" s="190"/>
      <c r="P14" s="150"/>
      <c r="Q14" s="151"/>
    </row>
    <row r="15" spans="1:24" ht="17" customHeight="1" thickBot="1" x14ac:dyDescent="0.25">
      <c r="A15" s="253"/>
      <c r="B15" s="172">
        <v>4</v>
      </c>
      <c r="C15" s="146" t="s">
        <v>136</v>
      </c>
      <c r="D15" s="146">
        <v>2023</v>
      </c>
      <c r="E15" s="147">
        <v>126000</v>
      </c>
      <c r="F15" s="147">
        <v>194000</v>
      </c>
      <c r="G15" s="148">
        <f>(F15-E15)*$W$2+E15</f>
        <v>178360</v>
      </c>
      <c r="H15" s="149">
        <v>1</v>
      </c>
      <c r="I15" s="148">
        <f t="shared" si="8"/>
        <v>194000</v>
      </c>
      <c r="J15" s="148">
        <f t="shared" si="9"/>
        <v>178360</v>
      </c>
      <c r="K15" s="147">
        <v>0</v>
      </c>
      <c r="L15" s="148">
        <f>K15*H15</f>
        <v>0</v>
      </c>
      <c r="M15" s="148">
        <f>I15-L15</f>
        <v>194000</v>
      </c>
      <c r="N15" s="183">
        <f>J15-L15</f>
        <v>178360</v>
      </c>
      <c r="O15" s="190"/>
      <c r="P15" s="150"/>
      <c r="Q15" s="151"/>
    </row>
    <row r="16" spans="1:24" ht="25" thickBot="1" x14ac:dyDescent="0.25">
      <c r="A16" s="144" t="s">
        <v>101</v>
      </c>
      <c r="B16" s="172">
        <v>1</v>
      </c>
      <c r="C16" s="146" t="s">
        <v>137</v>
      </c>
      <c r="D16" s="146">
        <v>2023</v>
      </c>
      <c r="E16" s="147">
        <v>0</v>
      </c>
      <c r="F16" s="147">
        <v>120000</v>
      </c>
      <c r="G16" s="148">
        <f>(F16-E16)*$W$2+E16</f>
        <v>92400</v>
      </c>
      <c r="H16" s="149">
        <v>1</v>
      </c>
      <c r="I16" s="148">
        <f t="shared" si="8"/>
        <v>120000</v>
      </c>
      <c r="J16" s="148">
        <f t="shared" si="9"/>
        <v>92400</v>
      </c>
      <c r="K16" s="147">
        <v>0</v>
      </c>
      <c r="L16" s="148">
        <f>K16*H16</f>
        <v>0</v>
      </c>
      <c r="M16" s="148">
        <f>I16-L16</f>
        <v>120000</v>
      </c>
      <c r="N16" s="183">
        <f>J16-L16</f>
        <v>92400</v>
      </c>
      <c r="O16" s="190"/>
      <c r="P16" s="150"/>
      <c r="Q16" s="151"/>
    </row>
    <row r="17" spans="1:19" ht="25" thickBot="1" x14ac:dyDescent="0.25">
      <c r="A17" s="171" t="s">
        <v>33</v>
      </c>
      <c r="B17" s="153"/>
      <c r="C17" s="154"/>
      <c r="D17" s="154"/>
      <c r="E17" s="155">
        <f>SUM(E12:E16)</f>
        <v>3082000</v>
      </c>
      <c r="F17" s="175">
        <f>SUM(F12:F16)</f>
        <v>3484000</v>
      </c>
      <c r="G17" s="173">
        <f>SUM(G12:G15)</f>
        <v>3299140</v>
      </c>
      <c r="H17" s="155"/>
      <c r="I17" s="155">
        <f>SUM(I12:I16)</f>
        <v>1899000</v>
      </c>
      <c r="J17" s="155">
        <f t="shared" ref="J17:M17" si="10">SUM(J12:J16)</f>
        <v>1831150</v>
      </c>
      <c r="K17" s="155">
        <f t="shared" si="10"/>
        <v>0</v>
      </c>
      <c r="L17" s="155">
        <f t="shared" si="10"/>
        <v>0</v>
      </c>
      <c r="M17" s="155">
        <f t="shared" si="10"/>
        <v>1899000</v>
      </c>
      <c r="N17" s="184">
        <f>SUM(N12:N16)</f>
        <v>1831150</v>
      </c>
      <c r="O17" s="191"/>
      <c r="P17" s="155"/>
      <c r="Q17" s="157"/>
    </row>
    <row r="18" spans="1:19" ht="17" thickBot="1" x14ac:dyDescent="0.25">
      <c r="A18" s="254" t="s">
        <v>67</v>
      </c>
      <c r="B18" s="172">
        <v>1</v>
      </c>
      <c r="C18" s="146" t="s">
        <v>32</v>
      </c>
      <c r="D18" s="146">
        <v>2016</v>
      </c>
      <c r="E18" s="147">
        <v>1600000</v>
      </c>
      <c r="F18" s="147">
        <v>4000000</v>
      </c>
      <c r="G18" s="148">
        <f>(F18-E18)*$W$3+E18</f>
        <v>3760000</v>
      </c>
      <c r="H18" s="149">
        <v>0.5</v>
      </c>
      <c r="I18" s="148">
        <f t="shared" si="8"/>
        <v>2000000</v>
      </c>
      <c r="J18" s="148">
        <f t="shared" si="9"/>
        <v>1880000</v>
      </c>
      <c r="K18" s="147">
        <v>2600000</v>
      </c>
      <c r="L18" s="148">
        <f>K18*H18</f>
        <v>1300000</v>
      </c>
      <c r="M18" s="148">
        <f>I18-L18</f>
        <v>700000</v>
      </c>
      <c r="N18" s="183">
        <f>J18-L18</f>
        <v>580000</v>
      </c>
      <c r="O18" s="190"/>
      <c r="P18" s="150"/>
      <c r="Q18" s="151"/>
      <c r="R18"/>
      <c r="S18"/>
    </row>
    <row r="19" spans="1:19" ht="17" thickBot="1" x14ac:dyDescent="0.25">
      <c r="A19" s="255"/>
      <c r="B19" s="172">
        <v>2</v>
      </c>
      <c r="C19" s="146" t="s">
        <v>123</v>
      </c>
      <c r="D19" s="146">
        <v>2025</v>
      </c>
      <c r="E19" s="147">
        <v>7000000</v>
      </c>
      <c r="F19" s="147">
        <v>7000000</v>
      </c>
      <c r="G19" s="148">
        <v>7000000</v>
      </c>
      <c r="H19" s="149">
        <v>0.5</v>
      </c>
      <c r="I19" s="148">
        <f t="shared" si="8"/>
        <v>3500000</v>
      </c>
      <c r="J19" s="148">
        <f t="shared" si="9"/>
        <v>3500000</v>
      </c>
      <c r="K19" s="147">
        <v>3600000</v>
      </c>
      <c r="L19" s="148">
        <f>K19*H19</f>
        <v>1800000</v>
      </c>
      <c r="M19" s="148">
        <f>I19-L19</f>
        <v>1700000</v>
      </c>
      <c r="N19" s="183">
        <f>J19-L19</f>
        <v>1700000</v>
      </c>
      <c r="O19" s="190"/>
      <c r="P19" s="150"/>
      <c r="Q19" s="151"/>
      <c r="R19"/>
      <c r="S19"/>
    </row>
    <row r="20" spans="1:19" ht="17" thickBot="1" x14ac:dyDescent="0.25">
      <c r="A20" s="256"/>
      <c r="B20" s="172">
        <v>3</v>
      </c>
      <c r="C20" s="146" t="s">
        <v>124</v>
      </c>
      <c r="D20" s="146">
        <v>2025</v>
      </c>
      <c r="E20" s="147">
        <v>660000</v>
      </c>
      <c r="F20" s="147">
        <v>800000</v>
      </c>
      <c r="G20" s="148">
        <f>F20</f>
        <v>800000</v>
      </c>
      <c r="H20" s="149">
        <v>0.5</v>
      </c>
      <c r="I20" s="148">
        <f t="shared" si="8"/>
        <v>400000</v>
      </c>
      <c r="J20" s="148">
        <f t="shared" si="9"/>
        <v>400000</v>
      </c>
      <c r="K20" s="147">
        <v>400000</v>
      </c>
      <c r="L20" s="148">
        <f>K20*H20</f>
        <v>200000</v>
      </c>
      <c r="M20" s="148">
        <f>I20-L20</f>
        <v>200000</v>
      </c>
      <c r="N20" s="183">
        <f>J20-L20</f>
        <v>200000</v>
      </c>
      <c r="O20" s="190"/>
      <c r="P20" s="150"/>
      <c r="Q20" s="151"/>
      <c r="R20"/>
      <c r="S20"/>
    </row>
    <row r="21" spans="1:19" ht="25" thickBot="1" x14ac:dyDescent="0.25">
      <c r="A21" s="171" t="s">
        <v>80</v>
      </c>
      <c r="B21" s="153"/>
      <c r="C21" s="154"/>
      <c r="D21" s="154"/>
      <c r="E21" s="155">
        <f>SUM(E18:E20)</f>
        <v>9260000</v>
      </c>
      <c r="F21" s="175">
        <f>SUM(F18:F20)</f>
        <v>11800000</v>
      </c>
      <c r="G21" s="173">
        <f>SUM(G18:G20)</f>
        <v>11560000</v>
      </c>
      <c r="H21" s="155"/>
      <c r="I21" s="155">
        <f>SUM(I18:I20)</f>
        <v>5900000</v>
      </c>
      <c r="J21" s="155">
        <f t="shared" ref="J21:L21" si="11">SUM(J18:J20)</f>
        <v>5780000</v>
      </c>
      <c r="K21" s="155">
        <f t="shared" si="11"/>
        <v>6600000</v>
      </c>
      <c r="L21" s="155">
        <f>SUM(L18:L20)</f>
        <v>3300000</v>
      </c>
      <c r="M21" s="155">
        <f>SUM(M18:M20)</f>
        <v>2600000</v>
      </c>
      <c r="N21" s="184">
        <f>SUM(N18:N20)</f>
        <v>2480000</v>
      </c>
      <c r="O21" s="191"/>
      <c r="P21" s="157"/>
      <c r="Q21" s="157"/>
      <c r="R21"/>
      <c r="S21"/>
    </row>
    <row r="22" spans="1:19" ht="25" thickBot="1" x14ac:dyDescent="0.25">
      <c r="A22" s="144" t="s">
        <v>121</v>
      </c>
      <c r="B22" s="159">
        <v>1</v>
      </c>
      <c r="C22" s="160" t="s">
        <v>122</v>
      </c>
      <c r="D22" s="160">
        <v>2023</v>
      </c>
      <c r="E22" s="161">
        <v>350000</v>
      </c>
      <c r="F22" s="175">
        <v>350000</v>
      </c>
      <c r="G22" s="162">
        <f>(F22-E22)*$W$2+E22</f>
        <v>350000</v>
      </c>
      <c r="H22" s="163">
        <v>0.5</v>
      </c>
      <c r="I22" s="162">
        <f t="shared" si="8"/>
        <v>175000</v>
      </c>
      <c r="J22" s="162">
        <f t="shared" si="9"/>
        <v>175000</v>
      </c>
      <c r="K22" s="161">
        <v>0</v>
      </c>
      <c r="L22" s="162">
        <f>K22*H22</f>
        <v>0</v>
      </c>
      <c r="M22" s="162">
        <f>I22-L22</f>
        <v>175000</v>
      </c>
      <c r="N22" s="184">
        <f>M22</f>
        <v>175000</v>
      </c>
      <c r="O22" s="193"/>
      <c r="P22" s="194"/>
      <c r="Q22" s="195"/>
      <c r="R22"/>
      <c r="S22"/>
    </row>
    <row r="23" spans="1:19" ht="18" customHeight="1" x14ac:dyDescent="0.2">
      <c r="A23" s="252" t="s">
        <v>140</v>
      </c>
      <c r="B23" s="202">
        <v>1</v>
      </c>
      <c r="C23" s="203" t="s">
        <v>24</v>
      </c>
      <c r="D23" s="203">
        <v>2009</v>
      </c>
      <c r="E23" s="204">
        <v>880000</v>
      </c>
      <c r="F23" s="204">
        <v>3500000</v>
      </c>
      <c r="G23" s="204">
        <f t="shared" ref="G23:G29" si="12">(F23-E23)*$W$2+E23</f>
        <v>2897400</v>
      </c>
      <c r="H23" s="248">
        <v>0.52</v>
      </c>
      <c r="I23" s="204">
        <f t="shared" si="8"/>
        <v>1820000</v>
      </c>
      <c r="J23" s="204">
        <f t="shared" si="9"/>
        <v>1506648</v>
      </c>
      <c r="K23" s="204">
        <v>0</v>
      </c>
      <c r="L23" s="204">
        <f t="shared" ref="L23:L28" si="13">K23*H23</f>
        <v>0</v>
      </c>
      <c r="M23" s="204">
        <f t="shared" ref="M23:M29" si="14">I23-L23</f>
        <v>1820000</v>
      </c>
      <c r="N23" s="204">
        <f>J23-L23</f>
        <v>1506648</v>
      </c>
      <c r="O23" s="188"/>
      <c r="P23" s="134"/>
      <c r="Q23" s="135"/>
      <c r="R23"/>
      <c r="S23"/>
    </row>
    <row r="24" spans="1:19" ht="18" customHeight="1" x14ac:dyDescent="0.2">
      <c r="A24" s="253"/>
      <c r="B24" s="220">
        <v>2</v>
      </c>
      <c r="C24" s="221" t="s">
        <v>115</v>
      </c>
      <c r="D24" s="221">
        <v>2023</v>
      </c>
      <c r="E24" s="222">
        <v>4000000</v>
      </c>
      <c r="F24" s="222">
        <v>4000000</v>
      </c>
      <c r="G24" s="222">
        <f t="shared" si="12"/>
        <v>4000000</v>
      </c>
      <c r="H24" s="249">
        <v>0.5</v>
      </c>
      <c r="I24" s="222">
        <f t="shared" si="8"/>
        <v>2000000</v>
      </c>
      <c r="J24" s="222">
        <f t="shared" si="9"/>
        <v>2000000</v>
      </c>
      <c r="K24" s="222">
        <v>3100000</v>
      </c>
      <c r="L24" s="222">
        <f t="shared" si="13"/>
        <v>1550000</v>
      </c>
      <c r="M24" s="222">
        <f t="shared" si="14"/>
        <v>450000</v>
      </c>
      <c r="N24" s="222">
        <f t="shared" ref="N24:N34" si="15">J24-L24</f>
        <v>450000</v>
      </c>
      <c r="O24" s="189"/>
      <c r="P24" s="142"/>
      <c r="Q24" s="143"/>
      <c r="R24"/>
      <c r="S24"/>
    </row>
    <row r="25" spans="1:19" ht="18" customHeight="1" x14ac:dyDescent="0.2">
      <c r="A25" s="253"/>
      <c r="B25" s="208">
        <v>3</v>
      </c>
      <c r="C25" s="209" t="s">
        <v>25</v>
      </c>
      <c r="D25" s="209">
        <v>2016</v>
      </c>
      <c r="E25" s="210">
        <v>1100000</v>
      </c>
      <c r="F25" s="210">
        <v>2750000</v>
      </c>
      <c r="G25" s="210">
        <f t="shared" si="12"/>
        <v>2370500</v>
      </c>
      <c r="H25" s="250">
        <v>0.5</v>
      </c>
      <c r="I25" s="210">
        <f t="shared" si="8"/>
        <v>1375000</v>
      </c>
      <c r="J25" s="210">
        <f t="shared" si="9"/>
        <v>1185250</v>
      </c>
      <c r="K25" s="210">
        <v>0</v>
      </c>
      <c r="L25" s="210">
        <f t="shared" si="13"/>
        <v>0</v>
      </c>
      <c r="M25" s="210">
        <f t="shared" si="14"/>
        <v>1375000</v>
      </c>
      <c r="N25" s="210">
        <f t="shared" si="15"/>
        <v>1185250</v>
      </c>
      <c r="O25" s="189"/>
      <c r="P25" s="142"/>
      <c r="Q25" s="143"/>
      <c r="R25"/>
      <c r="S25"/>
    </row>
    <row r="26" spans="1:19" ht="18" customHeight="1" x14ac:dyDescent="0.2">
      <c r="A26" s="253"/>
      <c r="B26" s="208">
        <v>4</v>
      </c>
      <c r="C26" s="209" t="s">
        <v>26</v>
      </c>
      <c r="D26" s="209">
        <v>2016</v>
      </c>
      <c r="E26" s="210">
        <v>800000</v>
      </c>
      <c r="F26" s="210">
        <v>1000000</v>
      </c>
      <c r="G26" s="210">
        <f t="shared" si="12"/>
        <v>954000</v>
      </c>
      <c r="H26" s="250">
        <v>0.5</v>
      </c>
      <c r="I26" s="210">
        <f t="shared" si="8"/>
        <v>500000</v>
      </c>
      <c r="J26" s="210">
        <f t="shared" si="9"/>
        <v>477000</v>
      </c>
      <c r="K26" s="210">
        <v>0</v>
      </c>
      <c r="L26" s="210">
        <f t="shared" si="13"/>
        <v>0</v>
      </c>
      <c r="M26" s="210">
        <f t="shared" si="14"/>
        <v>500000</v>
      </c>
      <c r="N26" s="210">
        <f t="shared" si="15"/>
        <v>477000</v>
      </c>
      <c r="O26" s="189"/>
      <c r="P26" s="142"/>
      <c r="Q26" s="143"/>
      <c r="R26"/>
      <c r="S26"/>
    </row>
    <row r="27" spans="1:19" ht="18" customHeight="1" x14ac:dyDescent="0.2">
      <c r="A27" s="253"/>
      <c r="B27" s="208">
        <v>5</v>
      </c>
      <c r="C27" s="209" t="s">
        <v>27</v>
      </c>
      <c r="D27" s="209">
        <v>2012</v>
      </c>
      <c r="E27" s="210">
        <v>4240000</v>
      </c>
      <c r="F27" s="210">
        <v>8000000</v>
      </c>
      <c r="G27" s="210">
        <f t="shared" si="12"/>
        <v>7135200</v>
      </c>
      <c r="H27" s="250">
        <v>0.5</v>
      </c>
      <c r="I27" s="210">
        <f t="shared" si="8"/>
        <v>4000000</v>
      </c>
      <c r="J27" s="210">
        <f t="shared" si="9"/>
        <v>3567600</v>
      </c>
      <c r="K27" s="210">
        <v>2600000</v>
      </c>
      <c r="L27" s="210">
        <v>0</v>
      </c>
      <c r="M27" s="210">
        <f t="shared" si="14"/>
        <v>4000000</v>
      </c>
      <c r="N27" s="210">
        <f t="shared" si="15"/>
        <v>3567600</v>
      </c>
      <c r="O27" s="189"/>
      <c r="P27" s="142"/>
      <c r="Q27" s="143"/>
      <c r="R27"/>
      <c r="S27"/>
    </row>
    <row r="28" spans="1:19" ht="18" customHeight="1" x14ac:dyDescent="0.2">
      <c r="A28" s="253"/>
      <c r="B28" s="214">
        <v>6</v>
      </c>
      <c r="C28" s="215" t="s">
        <v>116</v>
      </c>
      <c r="D28" s="215">
        <v>2023</v>
      </c>
      <c r="E28" s="216">
        <v>7500000</v>
      </c>
      <c r="F28" s="216">
        <v>7500000</v>
      </c>
      <c r="G28" s="216">
        <f t="shared" si="12"/>
        <v>7500000</v>
      </c>
      <c r="H28" s="251">
        <v>0.5</v>
      </c>
      <c r="I28" s="216">
        <f t="shared" si="8"/>
        <v>3750000</v>
      </c>
      <c r="J28" s="216">
        <f t="shared" si="9"/>
        <v>3750000</v>
      </c>
      <c r="K28" s="216">
        <v>3100000</v>
      </c>
      <c r="L28" s="216">
        <f t="shared" si="13"/>
        <v>1550000</v>
      </c>
      <c r="M28" s="216">
        <f t="shared" si="14"/>
        <v>2200000</v>
      </c>
      <c r="N28" s="216">
        <f t="shared" si="15"/>
        <v>2200000</v>
      </c>
      <c r="O28" s="189"/>
      <c r="P28" s="142"/>
      <c r="Q28" s="143"/>
      <c r="R28"/>
      <c r="S28"/>
    </row>
    <row r="29" spans="1:19" ht="19" customHeight="1" thickBot="1" x14ac:dyDescent="0.25">
      <c r="A29" s="259"/>
      <c r="B29" s="214">
        <v>7</v>
      </c>
      <c r="C29" s="215" t="s">
        <v>28</v>
      </c>
      <c r="D29" s="215">
        <v>2021</v>
      </c>
      <c r="E29" s="216">
        <v>5100000</v>
      </c>
      <c r="F29" s="216">
        <v>10000000</v>
      </c>
      <c r="G29" s="216">
        <f t="shared" si="12"/>
        <v>8873000</v>
      </c>
      <c r="H29" s="251">
        <v>0.4</v>
      </c>
      <c r="I29" s="216">
        <f t="shared" si="8"/>
        <v>4000000</v>
      </c>
      <c r="J29" s="216">
        <f t="shared" si="9"/>
        <v>3549200</v>
      </c>
      <c r="K29" s="216">
        <v>2100000</v>
      </c>
      <c r="L29" s="216">
        <v>0</v>
      </c>
      <c r="M29" s="216">
        <f t="shared" si="14"/>
        <v>4000000</v>
      </c>
      <c r="N29" s="216">
        <f t="shared" si="15"/>
        <v>3549200</v>
      </c>
      <c r="O29" s="189"/>
      <c r="P29" s="142"/>
      <c r="Q29" s="143"/>
      <c r="R29"/>
      <c r="S29"/>
    </row>
    <row r="30" spans="1:19" ht="17" customHeight="1" thickBot="1" x14ac:dyDescent="0.25">
      <c r="A30" s="171" t="s">
        <v>80</v>
      </c>
      <c r="B30" s="153"/>
      <c r="C30" s="154"/>
      <c r="D30" s="154"/>
      <c r="E30" s="155">
        <f>SUM(E23:E29)</f>
        <v>23620000</v>
      </c>
      <c r="F30" s="175">
        <f>SUM(F23:F29)</f>
        <v>36750000</v>
      </c>
      <c r="G30" s="173">
        <f>SUM(G23:G29)</f>
        <v>33730100</v>
      </c>
      <c r="H30" s="155"/>
      <c r="I30" s="155">
        <f>SUM(I23:I29)</f>
        <v>17445000</v>
      </c>
      <c r="J30" s="155">
        <f t="shared" ref="J30:M30" si="16">SUM(J23:J29)</f>
        <v>16035698</v>
      </c>
      <c r="K30" s="155">
        <f t="shared" si="16"/>
        <v>10900000</v>
      </c>
      <c r="L30" s="155">
        <f t="shared" si="16"/>
        <v>3100000</v>
      </c>
      <c r="M30" s="155">
        <f t="shared" si="16"/>
        <v>14345000</v>
      </c>
      <c r="N30" s="184">
        <f>SUM(N23:N29)</f>
        <v>12935698</v>
      </c>
      <c r="O30" s="191"/>
      <c r="P30" s="157"/>
      <c r="Q30" s="157"/>
      <c r="R30"/>
      <c r="S30"/>
    </row>
    <row r="31" spans="1:19" ht="24" customHeight="1" x14ac:dyDescent="0.2">
      <c r="A31" s="252" t="s">
        <v>139</v>
      </c>
      <c r="B31" s="214">
        <v>1</v>
      </c>
      <c r="C31" s="215" t="s">
        <v>31</v>
      </c>
      <c r="D31" s="215">
        <v>2021</v>
      </c>
      <c r="E31" s="216">
        <v>2150000</v>
      </c>
      <c r="F31" s="216">
        <v>2700000</v>
      </c>
      <c r="G31" s="216">
        <v>2700000</v>
      </c>
      <c r="H31" s="251">
        <v>1</v>
      </c>
      <c r="I31" s="216">
        <f t="shared" si="8"/>
        <v>2700000</v>
      </c>
      <c r="J31" s="216">
        <f t="shared" si="9"/>
        <v>2700000</v>
      </c>
      <c r="K31" s="216">
        <v>0</v>
      </c>
      <c r="L31" s="216">
        <v>0</v>
      </c>
      <c r="M31" s="216">
        <f t="shared" ref="M31:M34" si="17">I31-L31</f>
        <v>2700000</v>
      </c>
      <c r="N31" s="216">
        <f t="shared" si="15"/>
        <v>2700000</v>
      </c>
      <c r="O31" s="189"/>
      <c r="P31" s="142"/>
      <c r="Q31" s="143"/>
      <c r="R31"/>
      <c r="S31"/>
    </row>
    <row r="32" spans="1:19" ht="18" x14ac:dyDescent="0.2">
      <c r="A32" s="253"/>
      <c r="B32" s="214">
        <v>2</v>
      </c>
      <c r="C32" s="215" t="s">
        <v>103</v>
      </c>
      <c r="D32" s="215">
        <v>2024</v>
      </c>
      <c r="E32" s="216">
        <v>5000000</v>
      </c>
      <c r="F32" s="216">
        <v>5000000</v>
      </c>
      <c r="G32" s="216">
        <v>5000000</v>
      </c>
      <c r="H32" s="251">
        <v>1</v>
      </c>
      <c r="I32" s="216">
        <f t="shared" si="8"/>
        <v>5000000</v>
      </c>
      <c r="J32" s="216">
        <f t="shared" si="9"/>
        <v>5000000</v>
      </c>
      <c r="K32" s="216">
        <v>0</v>
      </c>
      <c r="L32" s="216">
        <f t="shared" ref="L32:L34" si="18">K32*H32</f>
        <v>0</v>
      </c>
      <c r="M32" s="216">
        <f t="shared" si="17"/>
        <v>5000000</v>
      </c>
      <c r="N32" s="216">
        <f t="shared" si="15"/>
        <v>5000000</v>
      </c>
      <c r="O32" s="189"/>
      <c r="P32" s="142"/>
      <c r="Q32" s="143"/>
      <c r="R32"/>
      <c r="S32"/>
    </row>
    <row r="33" spans="1:19" ht="18" x14ac:dyDescent="0.2">
      <c r="A33" s="253"/>
      <c r="B33" s="214">
        <v>3</v>
      </c>
      <c r="C33" s="215" t="s">
        <v>106</v>
      </c>
      <c r="D33" s="215"/>
      <c r="E33" s="216">
        <v>1500000</v>
      </c>
      <c r="F33" s="216">
        <v>1500000</v>
      </c>
      <c r="G33" s="216">
        <v>1500000</v>
      </c>
      <c r="H33" s="251">
        <v>1</v>
      </c>
      <c r="I33" s="216">
        <f t="shared" si="8"/>
        <v>1500000</v>
      </c>
      <c r="J33" s="216">
        <f t="shared" si="9"/>
        <v>1500000</v>
      </c>
      <c r="K33" s="216">
        <v>0</v>
      </c>
      <c r="L33" s="216">
        <f t="shared" si="18"/>
        <v>0</v>
      </c>
      <c r="M33" s="216">
        <f t="shared" si="17"/>
        <v>1500000</v>
      </c>
      <c r="N33" s="216">
        <f t="shared" si="15"/>
        <v>1500000</v>
      </c>
      <c r="O33" s="189"/>
      <c r="P33" s="142"/>
      <c r="Q33" s="143"/>
      <c r="R33"/>
      <c r="S33"/>
    </row>
    <row r="34" spans="1:19" ht="19" thickBot="1" x14ac:dyDescent="0.25">
      <c r="A34" s="259"/>
      <c r="B34" s="214">
        <v>4</v>
      </c>
      <c r="C34" s="215" t="s">
        <v>138</v>
      </c>
      <c r="D34" s="215"/>
      <c r="E34" s="216">
        <v>2000000</v>
      </c>
      <c r="F34" s="216">
        <v>2000000</v>
      </c>
      <c r="G34" s="216">
        <v>2000000</v>
      </c>
      <c r="H34" s="251">
        <v>1</v>
      </c>
      <c r="I34" s="216">
        <f t="shared" si="8"/>
        <v>2000000</v>
      </c>
      <c r="J34" s="216">
        <f t="shared" si="9"/>
        <v>2000000</v>
      </c>
      <c r="K34" s="216">
        <v>0</v>
      </c>
      <c r="L34" s="216">
        <f t="shared" si="18"/>
        <v>0</v>
      </c>
      <c r="M34" s="216">
        <f t="shared" si="17"/>
        <v>2000000</v>
      </c>
      <c r="N34" s="216">
        <f t="shared" si="15"/>
        <v>2000000</v>
      </c>
      <c r="O34" s="189"/>
      <c r="P34" s="142"/>
      <c r="Q34" s="143"/>
      <c r="R34"/>
      <c r="S34"/>
    </row>
    <row r="35" spans="1:19" ht="25" thickBot="1" x14ac:dyDescent="0.25">
      <c r="A35" s="171" t="s">
        <v>33</v>
      </c>
      <c r="B35" s="153"/>
      <c r="C35" s="154"/>
      <c r="D35" s="154"/>
      <c r="E35" s="155">
        <f>SUM(E31:E34)</f>
        <v>10650000</v>
      </c>
      <c r="F35" s="184">
        <f t="shared" ref="F35:N35" si="19">SUM(F31:F34)</f>
        <v>11200000</v>
      </c>
      <c r="G35" s="155">
        <f t="shared" si="19"/>
        <v>11200000</v>
      </c>
      <c r="H35" s="155"/>
      <c r="I35" s="155">
        <f t="shared" si="19"/>
        <v>11200000</v>
      </c>
      <c r="J35" s="155">
        <f t="shared" si="19"/>
        <v>11200000</v>
      </c>
      <c r="K35" s="155">
        <f t="shared" si="19"/>
        <v>0</v>
      </c>
      <c r="L35" s="155">
        <f t="shared" si="19"/>
        <v>0</v>
      </c>
      <c r="M35" s="155">
        <f t="shared" si="19"/>
        <v>11200000</v>
      </c>
      <c r="N35" s="184">
        <f t="shared" si="19"/>
        <v>11200000</v>
      </c>
      <c r="O35" s="191"/>
      <c r="P35" s="157"/>
      <c r="Q35" s="157"/>
      <c r="R35"/>
      <c r="S35"/>
    </row>
    <row r="36" spans="1:19" ht="24" customHeight="1" x14ac:dyDescent="0.2">
      <c r="A36" s="290" t="s">
        <v>34</v>
      </c>
      <c r="B36" s="220">
        <v>1</v>
      </c>
      <c r="C36" s="221" t="s">
        <v>35</v>
      </c>
      <c r="D36" s="221"/>
      <c r="E36" s="222">
        <v>2000000</v>
      </c>
      <c r="F36" s="222">
        <v>2000000</v>
      </c>
      <c r="G36" s="223">
        <f>(F36-E36)*$V$2+E36</f>
        <v>2000000</v>
      </c>
      <c r="H36" s="224">
        <v>1</v>
      </c>
      <c r="I36" s="223">
        <f t="shared" ref="I36" si="20">F36*H36</f>
        <v>2000000</v>
      </c>
      <c r="J36" s="223">
        <f t="shared" ref="J36" si="21">G36*H36</f>
        <v>2000000</v>
      </c>
      <c r="K36" s="222">
        <v>0</v>
      </c>
      <c r="L36" s="223">
        <f t="shared" ref="L36" si="22">K36*H36</f>
        <v>0</v>
      </c>
      <c r="M36" s="223">
        <f t="shared" ref="M36" si="23">I36-L36</f>
        <v>2000000</v>
      </c>
      <c r="N36" s="225">
        <f t="shared" ref="N36" si="24">J36-L36</f>
        <v>2000000</v>
      </c>
      <c r="O36" s="188"/>
      <c r="P36" s="134"/>
      <c r="Q36" s="135"/>
      <c r="R36"/>
      <c r="S36"/>
    </row>
    <row r="37" spans="1:19" ht="18" customHeight="1" thickBot="1" x14ac:dyDescent="0.25">
      <c r="A37" s="291"/>
      <c r="B37" s="233">
        <v>2</v>
      </c>
      <c r="C37" s="234" t="s">
        <v>36</v>
      </c>
      <c r="D37" s="234"/>
      <c r="E37" s="235">
        <v>2000000</v>
      </c>
      <c r="F37" s="235">
        <v>2000000</v>
      </c>
      <c r="G37" s="236">
        <f>(F37-E37)*$V$2+E37</f>
        <v>2000000</v>
      </c>
      <c r="H37" s="237">
        <v>1</v>
      </c>
      <c r="I37" s="236">
        <f>F37*H37</f>
        <v>2000000</v>
      </c>
      <c r="J37" s="236">
        <f>G37*H37</f>
        <v>2000000</v>
      </c>
      <c r="K37" s="235">
        <v>0</v>
      </c>
      <c r="L37" s="236">
        <f>K37*H37</f>
        <v>0</v>
      </c>
      <c r="M37" s="236">
        <f>I37-L37</f>
        <v>2000000</v>
      </c>
      <c r="N37" s="238">
        <f>J37-L37</f>
        <v>2000000</v>
      </c>
      <c r="O37" s="189"/>
      <c r="P37" s="142"/>
      <c r="Q37" s="143"/>
      <c r="R37"/>
      <c r="S37"/>
    </row>
    <row r="38" spans="1:19" ht="18" customHeight="1" thickBot="1" x14ac:dyDescent="0.25">
      <c r="A38" s="291"/>
      <c r="B38" s="233">
        <v>3</v>
      </c>
      <c r="C38" s="234" t="s">
        <v>105</v>
      </c>
      <c r="D38" s="234"/>
      <c r="E38" s="235">
        <v>2200000</v>
      </c>
      <c r="F38" s="235">
        <v>2200000</v>
      </c>
      <c r="G38" s="236">
        <v>2200000</v>
      </c>
      <c r="H38" s="237">
        <v>1</v>
      </c>
      <c r="I38" s="236">
        <f t="shared" ref="I38" si="25">F38*H38</f>
        <v>2200000</v>
      </c>
      <c r="J38" s="236">
        <f t="shared" ref="J38:J39" si="26">G38*H38</f>
        <v>2200000</v>
      </c>
      <c r="K38" s="235">
        <v>0</v>
      </c>
      <c r="L38" s="236">
        <f t="shared" ref="L38:L39" si="27">K38*H38</f>
        <v>0</v>
      </c>
      <c r="M38" s="236">
        <f t="shared" ref="M38:M39" si="28">I38-L38</f>
        <v>2200000</v>
      </c>
      <c r="N38" s="238">
        <f t="shared" ref="N38:N39" si="29">J38-L38</f>
        <v>2200000</v>
      </c>
      <c r="O38" s="189"/>
      <c r="P38" s="142"/>
      <c r="Q38" s="143"/>
      <c r="R38"/>
      <c r="S38"/>
    </row>
    <row r="39" spans="1:19" ht="18" customHeight="1" thickBot="1" x14ac:dyDescent="0.25">
      <c r="A39" s="291"/>
      <c r="B39" s="233">
        <v>4</v>
      </c>
      <c r="C39" s="234" t="s">
        <v>30</v>
      </c>
      <c r="D39" s="234"/>
      <c r="E39" s="235">
        <v>500000</v>
      </c>
      <c r="F39" s="235">
        <v>2000000</v>
      </c>
      <c r="G39" s="236">
        <v>1800000</v>
      </c>
      <c r="H39" s="237">
        <v>1</v>
      </c>
      <c r="I39" s="236">
        <f>F39*H39</f>
        <v>2000000</v>
      </c>
      <c r="J39" s="236">
        <f t="shared" si="26"/>
        <v>1800000</v>
      </c>
      <c r="K39" s="235">
        <v>0</v>
      </c>
      <c r="L39" s="236">
        <f t="shared" si="27"/>
        <v>0</v>
      </c>
      <c r="M39" s="236">
        <f t="shared" si="28"/>
        <v>2000000</v>
      </c>
      <c r="N39" s="238">
        <f t="shared" si="29"/>
        <v>1800000</v>
      </c>
      <c r="O39" s="189"/>
      <c r="P39" s="142"/>
      <c r="Q39" s="143"/>
      <c r="R39"/>
      <c r="S39"/>
    </row>
    <row r="40" spans="1:19" ht="19" customHeight="1" thickBot="1" x14ac:dyDescent="0.25">
      <c r="A40" s="171" t="s">
        <v>33</v>
      </c>
      <c r="B40" s="153"/>
      <c r="C40" s="154"/>
      <c r="D40" s="154"/>
      <c r="E40" s="155">
        <f>SUM(E36:E39)</f>
        <v>6700000</v>
      </c>
      <c r="F40" s="184">
        <f t="shared" ref="F40:G40" si="30">SUM(F36:F39)</f>
        <v>8200000</v>
      </c>
      <c r="G40" s="155">
        <f t="shared" si="30"/>
        <v>8000000</v>
      </c>
      <c r="H40" s="155"/>
      <c r="I40" s="155">
        <f>SUM(I36:I39)</f>
        <v>8200000</v>
      </c>
      <c r="J40" s="155">
        <f t="shared" ref="J40:M40" si="31">SUM(J36:J39)</f>
        <v>8000000</v>
      </c>
      <c r="K40" s="155">
        <f t="shared" si="31"/>
        <v>0</v>
      </c>
      <c r="L40" s="155">
        <f t="shared" si="31"/>
        <v>0</v>
      </c>
      <c r="M40" s="155">
        <f t="shared" si="31"/>
        <v>8200000</v>
      </c>
      <c r="N40" s="184">
        <f>SUM(N36:N39)</f>
        <v>8000000</v>
      </c>
      <c r="O40" s="155"/>
      <c r="P40" s="155"/>
      <c r="Q40" s="155"/>
      <c r="R40"/>
      <c r="S40"/>
    </row>
    <row r="41" spans="1:19" ht="38" customHeight="1" thickBot="1" x14ac:dyDescent="0.25">
      <c r="A41" s="176" t="s">
        <v>33</v>
      </c>
      <c r="B41" s="177"/>
      <c r="C41" s="178"/>
      <c r="D41" s="178"/>
      <c r="E41" s="179">
        <f>E22+E21+E17+E11+E8+E7+E30+E35+E40</f>
        <v>113162000</v>
      </c>
      <c r="F41" s="179">
        <f>F22+F21+F17+F11+F8+F7+F30+F35+F40</f>
        <v>175434000</v>
      </c>
      <c r="G41" s="179">
        <f t="shared" ref="G41:Q41" si="32">G22+G21+G17+G11+G8+G7+G30+G35+G40</f>
        <v>161634740</v>
      </c>
      <c r="H41" s="179"/>
      <c r="I41" s="179">
        <f t="shared" si="32"/>
        <v>71874000</v>
      </c>
      <c r="J41" s="179">
        <f t="shared" si="32"/>
        <v>66926998</v>
      </c>
      <c r="K41" s="179">
        <f t="shared" si="32"/>
        <v>51950000</v>
      </c>
      <c r="L41" s="179">
        <f t="shared" si="32"/>
        <v>13767500</v>
      </c>
      <c r="M41" s="179">
        <f t="shared" si="32"/>
        <v>58106500</v>
      </c>
      <c r="N41" s="179">
        <f t="shared" si="32"/>
        <v>53159498</v>
      </c>
      <c r="O41" s="179">
        <f t="shared" si="32"/>
        <v>0</v>
      </c>
      <c r="P41" s="179">
        <f t="shared" si="32"/>
        <v>0</v>
      </c>
      <c r="Q41" s="179">
        <f t="shared" si="32"/>
        <v>0</v>
      </c>
      <c r="R41"/>
      <c r="S41"/>
    </row>
    <row r="42" spans="1:19" x14ac:dyDescent="0.2">
      <c r="R42"/>
      <c r="S42"/>
    </row>
    <row r="43" spans="1:19" ht="17" thickBot="1" x14ac:dyDescent="0.25">
      <c r="R43"/>
      <c r="S43"/>
    </row>
    <row r="44" spans="1:19" ht="17" thickBot="1" x14ac:dyDescent="0.25">
      <c r="O44" s="257" t="s">
        <v>70</v>
      </c>
      <c r="P44" s="258"/>
      <c r="R44"/>
      <c r="S44"/>
    </row>
    <row r="45" spans="1:19" x14ac:dyDescent="0.2">
      <c r="G45" t="s">
        <v>129</v>
      </c>
      <c r="H45">
        <v>2200000</v>
      </c>
      <c r="K45" s="54" t="s">
        <v>71</v>
      </c>
      <c r="L45" s="52">
        <v>0</v>
      </c>
      <c r="O45" s="50" t="s">
        <v>132</v>
      </c>
      <c r="P45" s="51">
        <v>5000</v>
      </c>
      <c r="R45"/>
      <c r="S45"/>
    </row>
    <row r="46" spans="1:19" x14ac:dyDescent="0.2">
      <c r="G46" t="s">
        <v>130</v>
      </c>
      <c r="H46">
        <v>700000</v>
      </c>
      <c r="K46" s="55" t="s">
        <v>125</v>
      </c>
      <c r="L46" s="48">
        <v>5000000</v>
      </c>
      <c r="O46" s="49"/>
      <c r="P46" s="48"/>
      <c r="R46"/>
      <c r="S46"/>
    </row>
    <row r="47" spans="1:19" x14ac:dyDescent="0.2">
      <c r="K47" s="55" t="s">
        <v>126</v>
      </c>
      <c r="L47" s="48">
        <v>1000000</v>
      </c>
      <c r="O47" s="47" t="s">
        <v>72</v>
      </c>
      <c r="P47" s="48">
        <v>17000</v>
      </c>
      <c r="R47"/>
      <c r="S47"/>
    </row>
    <row r="48" spans="1:19" ht="17" thickBot="1" x14ac:dyDescent="0.25">
      <c r="G48" t="s">
        <v>131</v>
      </c>
      <c r="H48">
        <v>300000</v>
      </c>
      <c r="K48" s="55" t="s">
        <v>127</v>
      </c>
      <c r="L48" s="48">
        <v>1500000</v>
      </c>
      <c r="O48" s="58" t="s">
        <v>33</v>
      </c>
      <c r="P48" s="59">
        <f>SUM(P45:P47)</f>
        <v>22000</v>
      </c>
      <c r="R48"/>
      <c r="S48"/>
    </row>
    <row r="49" spans="11:19" x14ac:dyDescent="0.2">
      <c r="K49" s="55" t="s">
        <v>128</v>
      </c>
      <c r="L49" s="48">
        <v>0</v>
      </c>
      <c r="R49"/>
      <c r="S49"/>
    </row>
    <row r="50" spans="11:19" x14ac:dyDescent="0.2">
      <c r="K50" s="55" t="s">
        <v>73</v>
      </c>
      <c r="L50" s="48">
        <v>2100000</v>
      </c>
      <c r="R50"/>
      <c r="S50"/>
    </row>
    <row r="51" spans="11:19" ht="17" thickBot="1" x14ac:dyDescent="0.25">
      <c r="K51" s="57" t="s">
        <v>74</v>
      </c>
      <c r="L51" s="60">
        <f>SUM(L45:L50)</f>
        <v>9600000</v>
      </c>
      <c r="R51"/>
      <c r="S51"/>
    </row>
  </sheetData>
  <mergeCells count="7">
    <mergeCell ref="O44:P44"/>
    <mergeCell ref="A2:A5"/>
    <mergeCell ref="A9:A10"/>
    <mergeCell ref="A12:A15"/>
    <mergeCell ref="A18:A20"/>
    <mergeCell ref="A23:A29"/>
    <mergeCell ref="A31:A34"/>
  </mergeCells>
  <pageMargins left="0.25" right="0.25" top="0.75" bottom="0.75" header="0.3" footer="0.3"/>
  <pageSetup paperSize="9" scale="60" fitToHeight="2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0921-926A-DC4B-955D-287E083E14E0}">
  <dimension ref="A1:X51"/>
  <sheetViews>
    <sheetView rightToLeft="1" zoomScale="92" zoomScaleNormal="110" workbookViewId="0">
      <selection activeCell="E31" sqref="E31"/>
    </sheetView>
  </sheetViews>
  <sheetFormatPr baseColWidth="10" defaultColWidth="30.140625" defaultRowHeight="16" x14ac:dyDescent="0.2"/>
  <cols>
    <col min="1" max="1" width="31.5703125" style="2" bestFit="1" customWidth="1"/>
    <col min="2" max="2" width="5.7109375" bestFit="1" customWidth="1"/>
    <col min="3" max="3" width="17.28515625" bestFit="1" customWidth="1"/>
    <col min="4" max="4" width="7.140625" bestFit="1" customWidth="1"/>
    <col min="5" max="7" width="16.140625" bestFit="1" customWidth="1"/>
    <col min="8" max="8" width="8" bestFit="1" customWidth="1"/>
    <col min="9" max="9" width="17.7109375" bestFit="1" customWidth="1"/>
    <col min="10" max="10" width="16.42578125" bestFit="1" customWidth="1"/>
    <col min="11" max="11" width="18.42578125" customWidth="1"/>
    <col min="12" max="12" width="17.42578125" customWidth="1"/>
    <col min="13" max="13" width="16.140625" bestFit="1" customWidth="1"/>
    <col min="14" max="14" width="18.28515625" customWidth="1"/>
    <col min="15" max="15" width="11.140625" style="43" bestFit="1" customWidth="1"/>
    <col min="16" max="16" width="11.7109375" style="43" bestFit="1" customWidth="1"/>
    <col min="17" max="17" width="12.85546875" style="43" bestFit="1" customWidth="1"/>
    <col min="18" max="18" width="12.7109375" style="2" customWidth="1"/>
    <col min="19" max="19" width="14.42578125" style="2" customWidth="1"/>
    <col min="20" max="20" width="22.5703125" bestFit="1" customWidth="1"/>
    <col min="21" max="21" width="14" bestFit="1" customWidth="1"/>
    <col min="22" max="22" width="18.5703125" bestFit="1" customWidth="1"/>
    <col min="23" max="23" width="10.28515625" bestFit="1" customWidth="1"/>
    <col min="24" max="24" width="8.28515625" bestFit="1" customWidth="1"/>
    <col min="25" max="25" width="12.42578125" customWidth="1"/>
    <col min="26" max="26" width="12.28515625" customWidth="1"/>
    <col min="27" max="27" width="12.140625" customWidth="1"/>
    <col min="28" max="28" width="12.5703125" customWidth="1"/>
    <col min="34" max="34" width="10.28515625" bestFit="1" customWidth="1"/>
    <col min="35" max="35" width="8.28515625" bestFit="1" customWidth="1"/>
  </cols>
  <sheetData>
    <row r="1" spans="1:24" s="2" customFormat="1" ht="67" thickBot="1" x14ac:dyDescent="0.25">
      <c r="A1" s="128"/>
      <c r="B1" s="7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10" t="s">
        <v>5</v>
      </c>
      <c r="H1" s="11" t="s">
        <v>6</v>
      </c>
      <c r="I1" s="10" t="s">
        <v>7</v>
      </c>
      <c r="J1" s="10" t="s">
        <v>8</v>
      </c>
      <c r="K1" s="9" t="s">
        <v>9</v>
      </c>
      <c r="L1" s="10" t="s">
        <v>10</v>
      </c>
      <c r="M1" s="10" t="s">
        <v>11</v>
      </c>
      <c r="N1" s="180" t="s">
        <v>99</v>
      </c>
      <c r="O1" s="186" t="s">
        <v>68</v>
      </c>
      <c r="P1" s="9" t="s">
        <v>69</v>
      </c>
      <c r="Q1" s="187" t="s">
        <v>93</v>
      </c>
      <c r="W1" s="3" t="s">
        <v>37</v>
      </c>
      <c r="X1" s="3" t="s">
        <v>38</v>
      </c>
    </row>
    <row r="2" spans="1:24" x14ac:dyDescent="0.2">
      <c r="A2" s="252" t="s">
        <v>13</v>
      </c>
      <c r="B2" s="129">
        <v>1</v>
      </c>
      <c r="C2" s="130" t="s">
        <v>14</v>
      </c>
      <c r="D2" s="130">
        <v>1996</v>
      </c>
      <c r="E2" s="131">
        <v>0</v>
      </c>
      <c r="F2" s="131">
        <v>750000</v>
      </c>
      <c r="G2" s="132">
        <f t="shared" ref="G2:G6" si="0">(F2-E2)*$W$2+E2</f>
        <v>577500</v>
      </c>
      <c r="H2" s="133">
        <v>1</v>
      </c>
      <c r="I2" s="132">
        <f t="shared" ref="I2:I6" si="1">F2*H2</f>
        <v>750000</v>
      </c>
      <c r="J2" s="132">
        <f t="shared" ref="J2:J6" si="2">G2*H2</f>
        <v>577500</v>
      </c>
      <c r="K2" s="131">
        <v>0</v>
      </c>
      <c r="L2" s="132">
        <f t="shared" ref="L2:L6" si="3">K2*H2</f>
        <v>0</v>
      </c>
      <c r="M2" s="132">
        <f t="shared" ref="M2:M6" si="4">I2-L2</f>
        <v>750000</v>
      </c>
      <c r="N2" s="181">
        <f t="shared" ref="N2:N6" si="5">J2-L2</f>
        <v>577500</v>
      </c>
      <c r="O2" s="188">
        <v>25000</v>
      </c>
      <c r="P2" s="134">
        <v>0</v>
      </c>
      <c r="Q2" s="135">
        <v>0</v>
      </c>
      <c r="R2"/>
      <c r="S2"/>
      <c r="W2" s="1">
        <v>0.77</v>
      </c>
      <c r="X2">
        <v>12</v>
      </c>
    </row>
    <row r="3" spans="1:24" x14ac:dyDescent="0.2">
      <c r="A3" s="253"/>
      <c r="B3" s="137">
        <v>2</v>
      </c>
      <c r="C3" s="138" t="s">
        <v>15</v>
      </c>
      <c r="D3" s="138">
        <v>2006</v>
      </c>
      <c r="E3" s="139">
        <v>420000</v>
      </c>
      <c r="F3" s="139">
        <v>2000000</v>
      </c>
      <c r="G3" s="140">
        <f t="shared" si="0"/>
        <v>1636600</v>
      </c>
      <c r="H3" s="141">
        <v>1</v>
      </c>
      <c r="I3" s="140">
        <f t="shared" si="1"/>
        <v>2000000</v>
      </c>
      <c r="J3" s="140">
        <f t="shared" si="2"/>
        <v>1636600</v>
      </c>
      <c r="K3" s="139">
        <v>0</v>
      </c>
      <c r="L3" s="140">
        <f t="shared" si="3"/>
        <v>0</v>
      </c>
      <c r="M3" s="140">
        <f t="shared" si="4"/>
        <v>2000000</v>
      </c>
      <c r="N3" s="182">
        <f t="shared" si="5"/>
        <v>1636600</v>
      </c>
      <c r="O3" s="189">
        <v>8000</v>
      </c>
      <c r="P3" s="142">
        <v>0</v>
      </c>
      <c r="Q3" s="143">
        <v>0</v>
      </c>
      <c r="R3"/>
      <c r="S3"/>
      <c r="W3" s="1">
        <v>0.9</v>
      </c>
    </row>
    <row r="4" spans="1:24" x14ac:dyDescent="0.2">
      <c r="A4" s="253"/>
      <c r="B4" s="137">
        <v>3</v>
      </c>
      <c r="C4" s="138" t="s">
        <v>16</v>
      </c>
      <c r="D4" s="138">
        <v>2005</v>
      </c>
      <c r="E4" s="139">
        <v>130000</v>
      </c>
      <c r="F4" s="139">
        <v>900000</v>
      </c>
      <c r="G4" s="140">
        <f t="shared" si="0"/>
        <v>722900</v>
      </c>
      <c r="H4" s="141">
        <v>1</v>
      </c>
      <c r="I4" s="140">
        <f t="shared" si="1"/>
        <v>900000</v>
      </c>
      <c r="J4" s="140">
        <f t="shared" si="2"/>
        <v>722900</v>
      </c>
      <c r="K4" s="139">
        <v>0</v>
      </c>
      <c r="L4" s="140">
        <f t="shared" si="3"/>
        <v>0</v>
      </c>
      <c r="M4" s="140">
        <f t="shared" si="4"/>
        <v>900000</v>
      </c>
      <c r="N4" s="182">
        <f t="shared" si="5"/>
        <v>722900</v>
      </c>
      <c r="O4" s="189">
        <v>4500</v>
      </c>
      <c r="P4" s="142">
        <v>0</v>
      </c>
      <c r="Q4" s="143">
        <v>0</v>
      </c>
      <c r="R4"/>
      <c r="S4"/>
    </row>
    <row r="5" spans="1:24" ht="17" thickBot="1" x14ac:dyDescent="0.25">
      <c r="A5" s="253"/>
      <c r="B5" s="137">
        <v>4</v>
      </c>
      <c r="C5" s="138" t="s">
        <v>17</v>
      </c>
      <c r="D5" s="138">
        <v>2016</v>
      </c>
      <c r="E5" s="139">
        <v>2500000</v>
      </c>
      <c r="F5" s="139">
        <v>7000000</v>
      </c>
      <c r="G5" s="140">
        <f t="shared" si="0"/>
        <v>5965000</v>
      </c>
      <c r="H5" s="141">
        <v>0.33</v>
      </c>
      <c r="I5" s="140">
        <f t="shared" si="1"/>
        <v>2310000</v>
      </c>
      <c r="J5" s="140">
        <f t="shared" si="2"/>
        <v>1968450</v>
      </c>
      <c r="K5" s="139">
        <v>0</v>
      </c>
      <c r="L5" s="140">
        <f t="shared" si="3"/>
        <v>0</v>
      </c>
      <c r="M5" s="140">
        <f t="shared" si="4"/>
        <v>2310000</v>
      </c>
      <c r="N5" s="182">
        <f t="shared" si="5"/>
        <v>1968450</v>
      </c>
      <c r="O5" s="189">
        <v>16300</v>
      </c>
      <c r="P5" s="142">
        <v>0</v>
      </c>
      <c r="Q5" s="143">
        <v>0</v>
      </c>
      <c r="R5"/>
      <c r="S5"/>
    </row>
    <row r="6" spans="1:24" ht="49" thickBot="1" x14ac:dyDescent="0.25">
      <c r="A6" s="144" t="s">
        <v>62</v>
      </c>
      <c r="B6" s="145">
        <v>1</v>
      </c>
      <c r="C6" s="146" t="s">
        <v>29</v>
      </c>
      <c r="D6" s="146">
        <v>2019</v>
      </c>
      <c r="E6" s="147">
        <v>1450000</v>
      </c>
      <c r="F6" s="147">
        <v>3000000</v>
      </c>
      <c r="G6" s="148">
        <f t="shared" si="0"/>
        <v>2643500</v>
      </c>
      <c r="H6" s="149">
        <v>0.5</v>
      </c>
      <c r="I6" s="148">
        <f t="shared" si="1"/>
        <v>1500000</v>
      </c>
      <c r="J6" s="148">
        <f t="shared" si="2"/>
        <v>1321750</v>
      </c>
      <c r="K6" s="147">
        <v>0</v>
      </c>
      <c r="L6" s="148">
        <f t="shared" si="3"/>
        <v>0</v>
      </c>
      <c r="M6" s="148">
        <f t="shared" si="4"/>
        <v>1500000</v>
      </c>
      <c r="N6" s="183">
        <f t="shared" si="5"/>
        <v>1321750</v>
      </c>
      <c r="O6" s="190">
        <v>12500</v>
      </c>
      <c r="P6" s="150">
        <v>5000</v>
      </c>
      <c r="Q6" s="143">
        <v>0</v>
      </c>
      <c r="R6"/>
      <c r="S6"/>
    </row>
    <row r="7" spans="1:24" ht="25" thickBot="1" x14ac:dyDescent="0.25">
      <c r="A7" s="152" t="s">
        <v>80</v>
      </c>
      <c r="B7" s="153"/>
      <c r="C7" s="154"/>
      <c r="D7" s="154"/>
      <c r="E7" s="155">
        <f>SUM(E2:E6)</f>
        <v>4500000</v>
      </c>
      <c r="F7" s="175">
        <f>SUM(F2:F6)</f>
        <v>13650000</v>
      </c>
      <c r="G7" s="155">
        <f>SUM(G2:G6)</f>
        <v>11545500</v>
      </c>
      <c r="H7" s="156" t="s">
        <v>102</v>
      </c>
      <c r="I7" s="155">
        <f t="shared" ref="I7:P7" si="6">SUM(I2:I6)</f>
        <v>7460000</v>
      </c>
      <c r="J7" s="155">
        <f t="shared" si="6"/>
        <v>6227200</v>
      </c>
      <c r="K7" s="155">
        <f t="shared" si="6"/>
        <v>0</v>
      </c>
      <c r="L7" s="155">
        <f t="shared" si="6"/>
        <v>0</v>
      </c>
      <c r="M7" s="155">
        <f t="shared" si="6"/>
        <v>7460000</v>
      </c>
      <c r="N7" s="184">
        <f t="shared" si="6"/>
        <v>6227200</v>
      </c>
      <c r="O7" s="191">
        <f t="shared" si="6"/>
        <v>66300</v>
      </c>
      <c r="P7" s="155">
        <f t="shared" si="6"/>
        <v>5000</v>
      </c>
      <c r="Q7" s="157"/>
      <c r="R7"/>
      <c r="S7"/>
    </row>
    <row r="8" spans="1:24" ht="25" thickBot="1" x14ac:dyDescent="0.25">
      <c r="A8" s="158" t="s">
        <v>63</v>
      </c>
      <c r="B8" s="159">
        <v>1</v>
      </c>
      <c r="C8" s="160" t="s">
        <v>65</v>
      </c>
      <c r="D8" s="160">
        <v>2021</v>
      </c>
      <c r="E8" s="161">
        <v>30000000</v>
      </c>
      <c r="F8" s="175">
        <v>35000000</v>
      </c>
      <c r="G8" s="162">
        <f>(F8-E8)*$W$2+E8</f>
        <v>33850000</v>
      </c>
      <c r="H8" s="163">
        <v>0.16700000000000001</v>
      </c>
      <c r="I8" s="162">
        <f>F8*H8</f>
        <v>5845000</v>
      </c>
      <c r="J8" s="162">
        <f>G8*H8</f>
        <v>5652950</v>
      </c>
      <c r="K8" s="161">
        <v>15000000</v>
      </c>
      <c r="L8" s="162">
        <f>K8*H8</f>
        <v>2505000</v>
      </c>
      <c r="M8" s="162">
        <f>I8-L8</f>
        <v>3340000</v>
      </c>
      <c r="N8" s="184">
        <f>J8-L8</f>
        <v>3147950</v>
      </c>
      <c r="O8" s="191">
        <v>0</v>
      </c>
      <c r="P8" s="155">
        <v>0</v>
      </c>
      <c r="Q8" s="157"/>
      <c r="R8"/>
      <c r="S8"/>
    </row>
    <row r="9" spans="1:24" x14ac:dyDescent="0.2">
      <c r="A9" s="254" t="s">
        <v>20</v>
      </c>
      <c r="B9" s="129">
        <v>1</v>
      </c>
      <c r="C9" s="130" t="s">
        <v>21</v>
      </c>
      <c r="D9" s="130">
        <v>2016</v>
      </c>
      <c r="E9" s="131">
        <v>7000000</v>
      </c>
      <c r="F9" s="131">
        <v>25000000</v>
      </c>
      <c r="G9" s="132">
        <f>(F9-E9)*$W$2+E9</f>
        <v>20860000</v>
      </c>
      <c r="H9" s="133">
        <v>0.25</v>
      </c>
      <c r="I9" s="132">
        <f>F9*H9</f>
        <v>6250000</v>
      </c>
      <c r="J9" s="132">
        <f>G9*H9</f>
        <v>5215000</v>
      </c>
      <c r="K9" s="131">
        <v>9700000</v>
      </c>
      <c r="L9" s="132">
        <f>K9*H9</f>
        <v>2425000</v>
      </c>
      <c r="M9" s="132">
        <f>I9-L9</f>
        <v>3825000</v>
      </c>
      <c r="N9" s="181">
        <f>J9-L9</f>
        <v>2790000</v>
      </c>
      <c r="O9" s="188">
        <v>7500</v>
      </c>
      <c r="P9" s="134">
        <v>0</v>
      </c>
      <c r="Q9" s="135">
        <v>0</v>
      </c>
      <c r="R9"/>
      <c r="S9"/>
    </row>
    <row r="10" spans="1:24" ht="17" thickBot="1" x14ac:dyDescent="0.25">
      <c r="A10" s="255"/>
      <c r="B10" s="164">
        <v>2</v>
      </c>
      <c r="C10" s="165" t="s">
        <v>22</v>
      </c>
      <c r="D10" s="165">
        <v>2019</v>
      </c>
      <c r="E10" s="166">
        <v>18000000</v>
      </c>
      <c r="F10" s="166">
        <v>30000000</v>
      </c>
      <c r="G10" s="167">
        <f>(F10-E10)*$W$2+E10</f>
        <v>27240000</v>
      </c>
      <c r="H10" s="168">
        <v>0.25</v>
      </c>
      <c r="I10" s="167">
        <f>F10*H10</f>
        <v>7500000</v>
      </c>
      <c r="J10" s="167">
        <f>G10*H10</f>
        <v>6810000</v>
      </c>
      <c r="K10" s="166">
        <v>9750000</v>
      </c>
      <c r="L10" s="167">
        <f>K10*H10</f>
        <v>2437500</v>
      </c>
      <c r="M10" s="167">
        <f>I10-L10</f>
        <v>5062500</v>
      </c>
      <c r="N10" s="185">
        <f>J10-L10</f>
        <v>4372500</v>
      </c>
      <c r="O10" s="192">
        <v>7500</v>
      </c>
      <c r="P10" s="169">
        <v>0</v>
      </c>
      <c r="Q10" s="170">
        <v>0</v>
      </c>
      <c r="R10"/>
      <c r="S10"/>
    </row>
    <row r="11" spans="1:24" ht="25" thickBot="1" x14ac:dyDescent="0.25">
      <c r="A11" s="171" t="s">
        <v>33</v>
      </c>
      <c r="B11" s="153"/>
      <c r="C11" s="154"/>
      <c r="D11" s="154"/>
      <c r="E11" s="155">
        <f>SUM(E9:E10)</f>
        <v>25000000</v>
      </c>
      <c r="F11" s="175">
        <f t="shared" ref="F11:P11" si="7">SUM(F9:F10)</f>
        <v>55000000</v>
      </c>
      <c r="G11" s="155">
        <f t="shared" si="7"/>
        <v>48100000</v>
      </c>
      <c r="H11" s="155" t="s">
        <v>102</v>
      </c>
      <c r="I11" s="155">
        <f t="shared" si="7"/>
        <v>13750000</v>
      </c>
      <c r="J11" s="155">
        <f t="shared" si="7"/>
        <v>12025000</v>
      </c>
      <c r="K11" s="155">
        <f t="shared" si="7"/>
        <v>19450000</v>
      </c>
      <c r="L11" s="155">
        <f t="shared" si="7"/>
        <v>4862500</v>
      </c>
      <c r="M11" s="155">
        <f t="shared" si="7"/>
        <v>8887500</v>
      </c>
      <c r="N11" s="184">
        <f t="shared" si="7"/>
        <v>7162500</v>
      </c>
      <c r="O11" s="191">
        <f t="shared" si="7"/>
        <v>15000</v>
      </c>
      <c r="P11" s="155">
        <f t="shared" si="7"/>
        <v>0</v>
      </c>
      <c r="Q11" s="157"/>
      <c r="R11"/>
      <c r="S11"/>
    </row>
    <row r="12" spans="1:24" ht="17" customHeight="1" thickBot="1" x14ac:dyDescent="0.25">
      <c r="A12" s="252" t="s">
        <v>64</v>
      </c>
      <c r="B12" s="146">
        <v>1</v>
      </c>
      <c r="C12" s="146" t="s">
        <v>133</v>
      </c>
      <c r="D12" s="146">
        <v>2022</v>
      </c>
      <c r="E12" s="147">
        <v>1300000</v>
      </c>
      <c r="F12" s="147">
        <v>1300000</v>
      </c>
      <c r="G12" s="148">
        <f>(F12-E12)*$W$2+E12</f>
        <v>1300000</v>
      </c>
      <c r="H12" s="149">
        <v>0.5</v>
      </c>
      <c r="I12" s="148">
        <f t="shared" ref="I12:I34" si="8">F12*H12</f>
        <v>650000</v>
      </c>
      <c r="J12" s="148">
        <f t="shared" ref="J12:J34" si="9">G12*H12</f>
        <v>650000</v>
      </c>
      <c r="K12" s="147">
        <v>0</v>
      </c>
      <c r="L12" s="148">
        <f>K12*H12</f>
        <v>0</v>
      </c>
      <c r="M12" s="148">
        <f>I12-L12</f>
        <v>650000</v>
      </c>
      <c r="N12" s="183">
        <f>J12-L12</f>
        <v>650000</v>
      </c>
      <c r="O12" s="190">
        <v>4000</v>
      </c>
      <c r="P12" s="150">
        <v>1000</v>
      </c>
      <c r="Q12" s="151">
        <f>O12-P12</f>
        <v>3000</v>
      </c>
      <c r="R12"/>
      <c r="S12"/>
    </row>
    <row r="13" spans="1:24" ht="17" customHeight="1" thickBot="1" x14ac:dyDescent="0.25">
      <c r="A13" s="253"/>
      <c r="B13" s="172">
        <v>2</v>
      </c>
      <c r="C13" s="146" t="s">
        <v>134</v>
      </c>
      <c r="D13" s="146">
        <v>2025</v>
      </c>
      <c r="E13" s="147">
        <v>1512000</v>
      </c>
      <c r="F13" s="147">
        <v>1600000</v>
      </c>
      <c r="G13" s="148">
        <f>(F13-E13)*$W$2+E13</f>
        <v>1579760</v>
      </c>
      <c r="H13" s="149">
        <v>0.5</v>
      </c>
      <c r="I13" s="148">
        <f t="shared" si="8"/>
        <v>800000</v>
      </c>
      <c r="J13" s="148">
        <f t="shared" si="9"/>
        <v>789880</v>
      </c>
      <c r="K13" s="147">
        <v>0</v>
      </c>
      <c r="L13" s="148">
        <f>K13*H13</f>
        <v>0</v>
      </c>
      <c r="M13" s="148">
        <f>I13-L13</f>
        <v>800000</v>
      </c>
      <c r="N13" s="183">
        <f>J13-L13</f>
        <v>789880</v>
      </c>
      <c r="O13" s="190">
        <v>4400</v>
      </c>
      <c r="P13" s="150">
        <v>1000</v>
      </c>
      <c r="Q13" s="151">
        <f>O13-P13</f>
        <v>3400</v>
      </c>
      <c r="R13"/>
      <c r="S13"/>
    </row>
    <row r="14" spans="1:24" ht="17" customHeight="1" thickBot="1" x14ac:dyDescent="0.25">
      <c r="A14" s="253"/>
      <c r="B14" s="172">
        <v>3</v>
      </c>
      <c r="C14" s="146" t="s">
        <v>135</v>
      </c>
      <c r="D14" s="146">
        <v>2023</v>
      </c>
      <c r="E14" s="147">
        <v>144000</v>
      </c>
      <c r="F14" s="147">
        <v>270000</v>
      </c>
      <c r="G14" s="148">
        <f>(F14-E14)*$W$2+E14</f>
        <v>241020</v>
      </c>
      <c r="H14" s="149">
        <v>0.5</v>
      </c>
      <c r="I14" s="148">
        <f t="shared" si="8"/>
        <v>135000</v>
      </c>
      <c r="J14" s="148">
        <f t="shared" si="9"/>
        <v>120510</v>
      </c>
      <c r="K14" s="147">
        <v>0</v>
      </c>
      <c r="L14" s="148">
        <f>K14*H14</f>
        <v>0</v>
      </c>
      <c r="M14" s="148">
        <f>I14-L14</f>
        <v>135000</v>
      </c>
      <c r="N14" s="183">
        <f>J14-L14</f>
        <v>120510</v>
      </c>
      <c r="O14" s="190">
        <v>0</v>
      </c>
      <c r="P14" s="150">
        <v>0</v>
      </c>
      <c r="Q14" s="151">
        <f t="shared" ref="Q14:Q16" si="10">O14-P14</f>
        <v>0</v>
      </c>
    </row>
    <row r="15" spans="1:24" ht="17" customHeight="1" thickBot="1" x14ac:dyDescent="0.25">
      <c r="A15" s="253"/>
      <c r="B15" s="172">
        <v>4</v>
      </c>
      <c r="C15" s="146" t="s">
        <v>136</v>
      </c>
      <c r="D15" s="146">
        <v>2023</v>
      </c>
      <c r="E15" s="147">
        <v>126000</v>
      </c>
      <c r="F15" s="147">
        <v>194000</v>
      </c>
      <c r="G15" s="148">
        <f>(F15-E15)*$W$2+E15</f>
        <v>178360</v>
      </c>
      <c r="H15" s="149">
        <v>1</v>
      </c>
      <c r="I15" s="148">
        <f t="shared" si="8"/>
        <v>194000</v>
      </c>
      <c r="J15" s="148">
        <f t="shared" si="9"/>
        <v>178360</v>
      </c>
      <c r="K15" s="147">
        <v>0</v>
      </c>
      <c r="L15" s="148">
        <f>K15*H15</f>
        <v>0</v>
      </c>
      <c r="M15" s="148">
        <f>I15-L15</f>
        <v>194000</v>
      </c>
      <c r="N15" s="183">
        <f>J15-L15</f>
        <v>178360</v>
      </c>
      <c r="O15" s="190">
        <v>0</v>
      </c>
      <c r="P15" s="150">
        <v>0</v>
      </c>
      <c r="Q15" s="151">
        <f t="shared" si="10"/>
        <v>0</v>
      </c>
    </row>
    <row r="16" spans="1:24" ht="25" thickBot="1" x14ac:dyDescent="0.25">
      <c r="A16" s="144" t="s">
        <v>101</v>
      </c>
      <c r="B16" s="172">
        <v>1</v>
      </c>
      <c r="C16" s="146" t="s">
        <v>137</v>
      </c>
      <c r="D16" s="146">
        <v>2023</v>
      </c>
      <c r="E16" s="147">
        <v>0</v>
      </c>
      <c r="F16" s="147">
        <v>120000</v>
      </c>
      <c r="G16" s="148">
        <f>(F16-E16)*$W$2+E16</f>
        <v>92400</v>
      </c>
      <c r="H16" s="149">
        <v>1</v>
      </c>
      <c r="I16" s="148">
        <f t="shared" si="8"/>
        <v>120000</v>
      </c>
      <c r="J16" s="148">
        <f t="shared" si="9"/>
        <v>92400</v>
      </c>
      <c r="K16" s="147">
        <v>0</v>
      </c>
      <c r="L16" s="148">
        <f>K16*H16</f>
        <v>0</v>
      </c>
      <c r="M16" s="148">
        <f>I16-L16</f>
        <v>120000</v>
      </c>
      <c r="N16" s="183">
        <f>J16-L16</f>
        <v>92400</v>
      </c>
      <c r="O16" s="190">
        <v>1000</v>
      </c>
      <c r="P16" s="150">
        <v>0</v>
      </c>
      <c r="Q16" s="151">
        <f t="shared" si="10"/>
        <v>1000</v>
      </c>
    </row>
    <row r="17" spans="1:19" ht="25" thickBot="1" x14ac:dyDescent="0.25">
      <c r="A17" s="171" t="s">
        <v>33</v>
      </c>
      <c r="B17" s="153"/>
      <c r="C17" s="154"/>
      <c r="D17" s="154"/>
      <c r="E17" s="155">
        <f>SUM(E12:E16)</f>
        <v>3082000</v>
      </c>
      <c r="F17" s="175">
        <f>SUM(F12:F16)</f>
        <v>3484000</v>
      </c>
      <c r="G17" s="173">
        <f>SUM(G12:G15)</f>
        <v>3299140</v>
      </c>
      <c r="H17" s="155"/>
      <c r="I17" s="155">
        <f>SUM(I12:I16)</f>
        <v>1899000</v>
      </c>
      <c r="J17" s="155">
        <f t="shared" ref="J17:M17" si="11">SUM(J12:J16)</f>
        <v>1831150</v>
      </c>
      <c r="K17" s="155">
        <f t="shared" si="11"/>
        <v>0</v>
      </c>
      <c r="L17" s="155">
        <f t="shared" si="11"/>
        <v>0</v>
      </c>
      <c r="M17" s="155">
        <f t="shared" si="11"/>
        <v>1899000</v>
      </c>
      <c r="N17" s="184">
        <f>SUM(N12:N16)</f>
        <v>1831150</v>
      </c>
      <c r="O17" s="191"/>
      <c r="P17" s="155"/>
      <c r="Q17" s="157">
        <f>SUM(Q12:Q16)</f>
        <v>7400</v>
      </c>
    </row>
    <row r="18" spans="1:19" ht="17" thickBot="1" x14ac:dyDescent="0.25">
      <c r="A18" s="254" t="s">
        <v>67</v>
      </c>
      <c r="B18" s="172">
        <v>1</v>
      </c>
      <c r="C18" s="146" t="s">
        <v>32</v>
      </c>
      <c r="D18" s="146">
        <v>2016</v>
      </c>
      <c r="E18" s="147">
        <v>1600000</v>
      </c>
      <c r="F18" s="147">
        <v>4000000</v>
      </c>
      <c r="G18" s="148">
        <f>(F18-E18)*$W$3+E18</f>
        <v>3760000</v>
      </c>
      <c r="H18" s="149">
        <v>0.5</v>
      </c>
      <c r="I18" s="148">
        <f t="shared" si="8"/>
        <v>2000000</v>
      </c>
      <c r="J18" s="148">
        <f t="shared" si="9"/>
        <v>1880000</v>
      </c>
      <c r="K18" s="147">
        <v>2600000</v>
      </c>
      <c r="L18" s="148">
        <f>K18*H18</f>
        <v>1300000</v>
      </c>
      <c r="M18" s="148">
        <f>I18-L18</f>
        <v>700000</v>
      </c>
      <c r="N18" s="183">
        <f>J18-L18</f>
        <v>580000</v>
      </c>
      <c r="O18" s="190"/>
      <c r="P18" s="150">
        <v>0</v>
      </c>
      <c r="Q18" s="151">
        <v>2500</v>
      </c>
      <c r="R18"/>
      <c r="S18"/>
    </row>
    <row r="19" spans="1:19" ht="17" thickBot="1" x14ac:dyDescent="0.25">
      <c r="A19" s="255"/>
      <c r="B19" s="172">
        <v>2</v>
      </c>
      <c r="C19" s="146" t="s">
        <v>123</v>
      </c>
      <c r="D19" s="146">
        <v>2025</v>
      </c>
      <c r="E19" s="147">
        <v>7000000</v>
      </c>
      <c r="F19" s="147">
        <v>7000000</v>
      </c>
      <c r="G19" s="148">
        <v>7000000</v>
      </c>
      <c r="H19" s="149">
        <v>0.5</v>
      </c>
      <c r="I19" s="148">
        <f t="shared" si="8"/>
        <v>3500000</v>
      </c>
      <c r="J19" s="148">
        <f t="shared" si="9"/>
        <v>3500000</v>
      </c>
      <c r="K19" s="147">
        <v>3600000</v>
      </c>
      <c r="L19" s="148">
        <f>K19*H19</f>
        <v>1800000</v>
      </c>
      <c r="M19" s="148">
        <f>I19-L19</f>
        <v>1700000</v>
      </c>
      <c r="N19" s="183">
        <f>J19-L19</f>
        <v>1700000</v>
      </c>
      <c r="O19" s="190"/>
      <c r="P19" s="150"/>
      <c r="Q19" s="151"/>
      <c r="R19"/>
      <c r="S19"/>
    </row>
    <row r="20" spans="1:19" ht="17" thickBot="1" x14ac:dyDescent="0.25">
      <c r="A20" s="256"/>
      <c r="B20" s="172">
        <v>3</v>
      </c>
      <c r="C20" s="146" t="s">
        <v>124</v>
      </c>
      <c r="D20" s="146">
        <v>2025</v>
      </c>
      <c r="E20" s="147">
        <v>660000</v>
      </c>
      <c r="F20" s="147">
        <v>800000</v>
      </c>
      <c r="G20" s="148">
        <f>F20</f>
        <v>800000</v>
      </c>
      <c r="H20" s="149">
        <v>0.5</v>
      </c>
      <c r="I20" s="148">
        <f t="shared" si="8"/>
        <v>400000</v>
      </c>
      <c r="J20" s="148">
        <f t="shared" si="9"/>
        <v>400000</v>
      </c>
      <c r="K20" s="147">
        <v>400000</v>
      </c>
      <c r="L20" s="148">
        <f>K20*H20</f>
        <v>200000</v>
      </c>
      <c r="M20" s="148">
        <f>I20-L20</f>
        <v>200000</v>
      </c>
      <c r="N20" s="183">
        <f>J20-L20</f>
        <v>200000</v>
      </c>
      <c r="O20" s="190"/>
      <c r="P20" s="150"/>
      <c r="Q20" s="151"/>
      <c r="R20"/>
      <c r="S20"/>
    </row>
    <row r="21" spans="1:19" ht="25" thickBot="1" x14ac:dyDescent="0.25">
      <c r="A21" s="171" t="s">
        <v>80</v>
      </c>
      <c r="B21" s="153"/>
      <c r="C21" s="154"/>
      <c r="D21" s="154"/>
      <c r="E21" s="155">
        <f>SUM(E18:E20)</f>
        <v>9260000</v>
      </c>
      <c r="F21" s="175">
        <f>SUM(F18:F20)</f>
        <v>11800000</v>
      </c>
      <c r="G21" s="173">
        <f>SUM(G18:G20)</f>
        <v>11560000</v>
      </c>
      <c r="H21" s="155"/>
      <c r="I21" s="155">
        <f>SUM(I18:I20)</f>
        <v>5900000</v>
      </c>
      <c r="J21" s="155">
        <f t="shared" ref="J21:L21" si="12">SUM(J18:J20)</f>
        <v>5780000</v>
      </c>
      <c r="K21" s="155">
        <f t="shared" si="12"/>
        <v>6600000</v>
      </c>
      <c r="L21" s="155">
        <f>SUM(L18:L20)</f>
        <v>3300000</v>
      </c>
      <c r="M21" s="155">
        <f>SUM(M18:M20)</f>
        <v>2600000</v>
      </c>
      <c r="N21" s="184">
        <f>SUM(N18:N20)</f>
        <v>2480000</v>
      </c>
      <c r="O21" s="191"/>
      <c r="P21" s="157"/>
      <c r="Q21" s="157"/>
      <c r="R21"/>
      <c r="S21"/>
    </row>
    <row r="22" spans="1:19" ht="25" thickBot="1" x14ac:dyDescent="0.25">
      <c r="A22" s="144" t="s">
        <v>121</v>
      </c>
      <c r="B22" s="159">
        <v>1</v>
      </c>
      <c r="C22" s="160" t="s">
        <v>122</v>
      </c>
      <c r="D22" s="160">
        <v>2023</v>
      </c>
      <c r="E22" s="161">
        <v>350000</v>
      </c>
      <c r="F22" s="175">
        <v>350000</v>
      </c>
      <c r="G22" s="162">
        <f>(F22-E22)*$W$2+E22</f>
        <v>350000</v>
      </c>
      <c r="H22" s="163">
        <v>0.5</v>
      </c>
      <c r="I22" s="162">
        <f t="shared" si="8"/>
        <v>175000</v>
      </c>
      <c r="J22" s="162">
        <f t="shared" si="9"/>
        <v>175000</v>
      </c>
      <c r="K22" s="161">
        <v>0</v>
      </c>
      <c r="L22" s="162">
        <f>K22*H22</f>
        <v>0</v>
      </c>
      <c r="M22" s="162">
        <f>I22-L22</f>
        <v>175000</v>
      </c>
      <c r="N22" s="184">
        <f>M22</f>
        <v>175000</v>
      </c>
      <c r="O22" s="193"/>
      <c r="P22" s="194"/>
      <c r="Q22" s="195"/>
      <c r="R22"/>
      <c r="S22"/>
    </row>
    <row r="23" spans="1:19" ht="18" customHeight="1" x14ac:dyDescent="0.2">
      <c r="A23" s="252" t="s">
        <v>140</v>
      </c>
      <c r="B23" s="202">
        <v>1</v>
      </c>
      <c r="C23" s="203" t="s">
        <v>24</v>
      </c>
      <c r="D23" s="203">
        <v>2009</v>
      </c>
      <c r="E23" s="204">
        <v>880000</v>
      </c>
      <c r="F23" s="204">
        <v>3500000</v>
      </c>
      <c r="G23" s="204">
        <f t="shared" ref="G23:G29" si="13">(F23-E23)*$W$2+E23</f>
        <v>2897400</v>
      </c>
      <c r="H23" s="248">
        <v>0.52</v>
      </c>
      <c r="I23" s="204">
        <f t="shared" si="8"/>
        <v>1820000</v>
      </c>
      <c r="J23" s="204">
        <f t="shared" si="9"/>
        <v>1506648</v>
      </c>
      <c r="K23" s="204">
        <v>0</v>
      </c>
      <c r="L23" s="204">
        <f t="shared" ref="L23:L28" si="14">K23*H23</f>
        <v>0</v>
      </c>
      <c r="M23" s="204">
        <f t="shared" ref="M23:M29" si="15">I23-L23</f>
        <v>1820000</v>
      </c>
      <c r="N23" s="204">
        <f>J23-L23</f>
        <v>1506648</v>
      </c>
      <c r="O23" s="188"/>
      <c r="P23" s="134"/>
      <c r="Q23" s="135"/>
      <c r="R23"/>
      <c r="S23"/>
    </row>
    <row r="24" spans="1:19" ht="18" customHeight="1" x14ac:dyDescent="0.2">
      <c r="A24" s="253"/>
      <c r="B24" s="220">
        <v>2</v>
      </c>
      <c r="C24" s="221" t="s">
        <v>115</v>
      </c>
      <c r="D24" s="221">
        <v>2023</v>
      </c>
      <c r="E24" s="222">
        <v>4000000</v>
      </c>
      <c r="F24" s="222">
        <v>4000000</v>
      </c>
      <c r="G24" s="222">
        <f t="shared" si="13"/>
        <v>4000000</v>
      </c>
      <c r="H24" s="249">
        <v>0.5</v>
      </c>
      <c r="I24" s="222">
        <f t="shared" si="8"/>
        <v>2000000</v>
      </c>
      <c r="J24" s="222">
        <f t="shared" si="9"/>
        <v>2000000</v>
      </c>
      <c r="K24" s="222">
        <v>3100000</v>
      </c>
      <c r="L24" s="222">
        <f t="shared" si="14"/>
        <v>1550000</v>
      </c>
      <c r="M24" s="222">
        <f t="shared" si="15"/>
        <v>450000</v>
      </c>
      <c r="N24" s="222">
        <f t="shared" ref="N24:N34" si="16">J24-L24</f>
        <v>450000</v>
      </c>
      <c r="O24" s="189"/>
      <c r="P24" s="142"/>
      <c r="Q24" s="143"/>
      <c r="R24"/>
      <c r="S24"/>
    </row>
    <row r="25" spans="1:19" ht="18" customHeight="1" x14ac:dyDescent="0.2">
      <c r="A25" s="253"/>
      <c r="B25" s="208">
        <v>3</v>
      </c>
      <c r="C25" s="209" t="s">
        <v>25</v>
      </c>
      <c r="D25" s="209">
        <v>2016</v>
      </c>
      <c r="E25" s="210">
        <v>1100000</v>
      </c>
      <c r="F25" s="210">
        <v>2750000</v>
      </c>
      <c r="G25" s="210">
        <f t="shared" si="13"/>
        <v>2370500</v>
      </c>
      <c r="H25" s="250">
        <v>0.5</v>
      </c>
      <c r="I25" s="210">
        <f t="shared" si="8"/>
        <v>1375000</v>
      </c>
      <c r="J25" s="210">
        <f t="shared" si="9"/>
        <v>1185250</v>
      </c>
      <c r="K25" s="210">
        <v>0</v>
      </c>
      <c r="L25" s="210">
        <f t="shared" si="14"/>
        <v>0</v>
      </c>
      <c r="M25" s="210">
        <f t="shared" si="15"/>
        <v>1375000</v>
      </c>
      <c r="N25" s="210">
        <f t="shared" si="16"/>
        <v>1185250</v>
      </c>
      <c r="O25" s="189"/>
      <c r="P25" s="142"/>
      <c r="Q25" s="143"/>
      <c r="R25"/>
      <c r="S25"/>
    </row>
    <row r="26" spans="1:19" ht="18" customHeight="1" x14ac:dyDescent="0.2">
      <c r="A26" s="253"/>
      <c r="B26" s="208">
        <v>4</v>
      </c>
      <c r="C26" s="209" t="s">
        <v>26</v>
      </c>
      <c r="D26" s="209">
        <v>2016</v>
      </c>
      <c r="E26" s="210">
        <v>800000</v>
      </c>
      <c r="F26" s="210">
        <v>1000000</v>
      </c>
      <c r="G26" s="210">
        <f t="shared" si="13"/>
        <v>954000</v>
      </c>
      <c r="H26" s="250">
        <v>0.5</v>
      </c>
      <c r="I26" s="210">
        <f t="shared" si="8"/>
        <v>500000</v>
      </c>
      <c r="J26" s="210">
        <f t="shared" si="9"/>
        <v>477000</v>
      </c>
      <c r="K26" s="210">
        <v>0</v>
      </c>
      <c r="L26" s="210">
        <f t="shared" si="14"/>
        <v>0</v>
      </c>
      <c r="M26" s="210">
        <f t="shared" si="15"/>
        <v>500000</v>
      </c>
      <c r="N26" s="210">
        <f t="shared" si="16"/>
        <v>477000</v>
      </c>
      <c r="O26" s="189"/>
      <c r="P26" s="142"/>
      <c r="Q26" s="143"/>
      <c r="R26"/>
      <c r="S26"/>
    </row>
    <row r="27" spans="1:19" ht="18" customHeight="1" x14ac:dyDescent="0.2">
      <c r="A27" s="253"/>
      <c r="B27" s="208">
        <v>5</v>
      </c>
      <c r="C27" s="209" t="s">
        <v>27</v>
      </c>
      <c r="D27" s="209">
        <v>2012</v>
      </c>
      <c r="E27" s="210">
        <v>4240000</v>
      </c>
      <c r="F27" s="210">
        <v>8000000</v>
      </c>
      <c r="G27" s="210">
        <f t="shared" si="13"/>
        <v>7135200</v>
      </c>
      <c r="H27" s="250">
        <v>0.5</v>
      </c>
      <c r="I27" s="210">
        <f t="shared" si="8"/>
        <v>4000000</v>
      </c>
      <c r="J27" s="210">
        <f t="shared" si="9"/>
        <v>3567600</v>
      </c>
      <c r="K27" s="210">
        <v>2600000</v>
      </c>
      <c r="L27" s="210">
        <v>0</v>
      </c>
      <c r="M27" s="210">
        <f t="shared" si="15"/>
        <v>4000000</v>
      </c>
      <c r="N27" s="210">
        <f t="shared" si="16"/>
        <v>3567600</v>
      </c>
      <c r="O27" s="189"/>
      <c r="P27" s="142"/>
      <c r="Q27" s="143"/>
      <c r="R27"/>
      <c r="S27"/>
    </row>
    <row r="28" spans="1:19" ht="18" customHeight="1" x14ac:dyDescent="0.2">
      <c r="A28" s="253"/>
      <c r="B28" s="214">
        <v>6</v>
      </c>
      <c r="C28" s="215" t="s">
        <v>116</v>
      </c>
      <c r="D28" s="215">
        <v>2023</v>
      </c>
      <c r="E28" s="216">
        <v>7500000</v>
      </c>
      <c r="F28" s="216">
        <v>7500000</v>
      </c>
      <c r="G28" s="216">
        <f t="shared" si="13"/>
        <v>7500000</v>
      </c>
      <c r="H28" s="251">
        <v>0.5</v>
      </c>
      <c r="I28" s="216">
        <f t="shared" si="8"/>
        <v>3750000</v>
      </c>
      <c r="J28" s="216">
        <f t="shared" si="9"/>
        <v>3750000</v>
      </c>
      <c r="K28" s="216">
        <v>3100000</v>
      </c>
      <c r="L28" s="216">
        <f t="shared" si="14"/>
        <v>1550000</v>
      </c>
      <c r="M28" s="216">
        <f t="shared" si="15"/>
        <v>2200000</v>
      </c>
      <c r="N28" s="216">
        <f t="shared" si="16"/>
        <v>2200000</v>
      </c>
      <c r="O28" s="189"/>
      <c r="P28" s="142"/>
      <c r="Q28" s="143"/>
      <c r="R28"/>
      <c r="S28"/>
    </row>
    <row r="29" spans="1:19" ht="19" customHeight="1" thickBot="1" x14ac:dyDescent="0.25">
      <c r="A29" s="259"/>
      <c r="B29" s="214">
        <v>7</v>
      </c>
      <c r="C29" s="215" t="s">
        <v>28</v>
      </c>
      <c r="D29" s="215">
        <v>2021</v>
      </c>
      <c r="E29" s="216">
        <v>5100000</v>
      </c>
      <c r="F29" s="216">
        <v>10000000</v>
      </c>
      <c r="G29" s="216">
        <f t="shared" si="13"/>
        <v>8873000</v>
      </c>
      <c r="H29" s="251">
        <v>0.4</v>
      </c>
      <c r="I29" s="216">
        <f t="shared" si="8"/>
        <v>4000000</v>
      </c>
      <c r="J29" s="216">
        <f t="shared" si="9"/>
        <v>3549200</v>
      </c>
      <c r="K29" s="216">
        <v>2100000</v>
      </c>
      <c r="L29" s="216">
        <v>0</v>
      </c>
      <c r="M29" s="216">
        <f t="shared" si="15"/>
        <v>4000000</v>
      </c>
      <c r="N29" s="216">
        <f t="shared" si="16"/>
        <v>3549200</v>
      </c>
      <c r="O29" s="189"/>
      <c r="P29" s="142"/>
      <c r="Q29" s="143"/>
      <c r="R29"/>
      <c r="S29"/>
    </row>
    <row r="30" spans="1:19" ht="17" customHeight="1" thickBot="1" x14ac:dyDescent="0.25">
      <c r="A30" s="171" t="s">
        <v>80</v>
      </c>
      <c r="B30" s="153"/>
      <c r="C30" s="154"/>
      <c r="D30" s="154"/>
      <c r="E30" s="155">
        <f>SUM(E23:E29)</f>
        <v>23620000</v>
      </c>
      <c r="F30" s="175">
        <f>SUM(F23:F29)</f>
        <v>36750000</v>
      </c>
      <c r="G30" s="173">
        <f>SUM(G23:G29)</f>
        <v>33730100</v>
      </c>
      <c r="H30" s="155"/>
      <c r="I30" s="155">
        <f>SUM(I23:I29)</f>
        <v>17445000</v>
      </c>
      <c r="J30" s="155">
        <f t="shared" ref="J30:M30" si="17">SUM(J23:J29)</f>
        <v>16035698</v>
      </c>
      <c r="K30" s="155">
        <f t="shared" si="17"/>
        <v>10900000</v>
      </c>
      <c r="L30" s="155">
        <f t="shared" si="17"/>
        <v>3100000</v>
      </c>
      <c r="M30" s="155">
        <f t="shared" si="17"/>
        <v>14345000</v>
      </c>
      <c r="N30" s="184">
        <f>SUM(N23:N29)</f>
        <v>12935698</v>
      </c>
      <c r="O30" s="191"/>
      <c r="P30" s="157"/>
      <c r="Q30" s="157"/>
      <c r="R30"/>
      <c r="S30"/>
    </row>
    <row r="31" spans="1:19" ht="24" customHeight="1" x14ac:dyDescent="0.2">
      <c r="A31" s="252" t="s">
        <v>139</v>
      </c>
      <c r="B31" s="214">
        <v>1</v>
      </c>
      <c r="C31" s="215" t="s">
        <v>31</v>
      </c>
      <c r="D31" s="215">
        <v>2021</v>
      </c>
      <c r="E31" s="216">
        <v>2150000</v>
      </c>
      <c r="F31" s="216">
        <v>2700000</v>
      </c>
      <c r="G31" s="216">
        <v>2700000</v>
      </c>
      <c r="H31" s="251">
        <v>1</v>
      </c>
      <c r="I31" s="216">
        <f t="shared" si="8"/>
        <v>2700000</v>
      </c>
      <c r="J31" s="216">
        <f t="shared" si="9"/>
        <v>2700000</v>
      </c>
      <c r="K31" s="216">
        <v>0</v>
      </c>
      <c r="L31" s="216">
        <v>0</v>
      </c>
      <c r="M31" s="216">
        <f t="shared" ref="M31:M34" si="18">I31-L31</f>
        <v>2700000</v>
      </c>
      <c r="N31" s="216">
        <f t="shared" si="16"/>
        <v>2700000</v>
      </c>
      <c r="O31" s="189"/>
      <c r="P31" s="142"/>
      <c r="Q31" s="143"/>
      <c r="R31"/>
      <c r="S31"/>
    </row>
    <row r="32" spans="1:19" ht="18" x14ac:dyDescent="0.2">
      <c r="A32" s="253"/>
      <c r="B32" s="214">
        <v>2</v>
      </c>
      <c r="C32" s="215" t="s">
        <v>103</v>
      </c>
      <c r="D32" s="215">
        <v>2024</v>
      </c>
      <c r="E32" s="216">
        <v>5000000</v>
      </c>
      <c r="F32" s="216">
        <v>5000000</v>
      </c>
      <c r="G32" s="216">
        <v>5000000</v>
      </c>
      <c r="H32" s="251">
        <v>1</v>
      </c>
      <c r="I32" s="216">
        <f t="shared" si="8"/>
        <v>5000000</v>
      </c>
      <c r="J32" s="216">
        <f t="shared" si="9"/>
        <v>5000000</v>
      </c>
      <c r="K32" s="216">
        <v>0</v>
      </c>
      <c r="L32" s="216">
        <f t="shared" ref="L32:L34" si="19">K32*H32</f>
        <v>0</v>
      </c>
      <c r="M32" s="216">
        <f t="shared" si="18"/>
        <v>5000000</v>
      </c>
      <c r="N32" s="216">
        <f t="shared" si="16"/>
        <v>5000000</v>
      </c>
      <c r="O32" s="189"/>
      <c r="P32" s="142"/>
      <c r="Q32" s="143"/>
      <c r="R32"/>
      <c r="S32"/>
    </row>
    <row r="33" spans="1:19" ht="18" x14ac:dyDescent="0.2">
      <c r="A33" s="253"/>
      <c r="B33" s="214">
        <v>3</v>
      </c>
      <c r="C33" s="215" t="s">
        <v>106</v>
      </c>
      <c r="D33" s="215"/>
      <c r="E33" s="216">
        <v>1500000</v>
      </c>
      <c r="F33" s="216">
        <v>1500000</v>
      </c>
      <c r="G33" s="216">
        <v>1500000</v>
      </c>
      <c r="H33" s="251">
        <v>1</v>
      </c>
      <c r="I33" s="216">
        <f t="shared" si="8"/>
        <v>1500000</v>
      </c>
      <c r="J33" s="216">
        <f t="shared" si="9"/>
        <v>1500000</v>
      </c>
      <c r="K33" s="216">
        <v>0</v>
      </c>
      <c r="L33" s="216">
        <f t="shared" si="19"/>
        <v>0</v>
      </c>
      <c r="M33" s="216">
        <f t="shared" si="18"/>
        <v>1500000</v>
      </c>
      <c r="N33" s="216">
        <f t="shared" si="16"/>
        <v>1500000</v>
      </c>
      <c r="O33" s="189"/>
      <c r="P33" s="142"/>
      <c r="Q33" s="143"/>
      <c r="R33"/>
      <c r="S33"/>
    </row>
    <row r="34" spans="1:19" ht="19" thickBot="1" x14ac:dyDescent="0.25">
      <c r="A34" s="259"/>
      <c r="B34" s="214">
        <v>4</v>
      </c>
      <c r="C34" s="215" t="s">
        <v>138</v>
      </c>
      <c r="D34" s="215"/>
      <c r="E34" s="216">
        <v>2000000</v>
      </c>
      <c r="F34" s="216">
        <v>2000000</v>
      </c>
      <c r="G34" s="216">
        <v>2000000</v>
      </c>
      <c r="H34" s="251">
        <v>1</v>
      </c>
      <c r="I34" s="216">
        <f t="shared" si="8"/>
        <v>2000000</v>
      </c>
      <c r="J34" s="216">
        <f t="shared" si="9"/>
        <v>2000000</v>
      </c>
      <c r="K34" s="216">
        <v>0</v>
      </c>
      <c r="L34" s="216">
        <f t="shared" si="19"/>
        <v>0</v>
      </c>
      <c r="M34" s="216">
        <f t="shared" si="18"/>
        <v>2000000</v>
      </c>
      <c r="N34" s="216">
        <f t="shared" si="16"/>
        <v>2000000</v>
      </c>
      <c r="O34" s="189"/>
      <c r="P34" s="142"/>
      <c r="Q34" s="143"/>
      <c r="R34"/>
      <c r="S34"/>
    </row>
    <row r="35" spans="1:19" ht="25" thickBot="1" x14ac:dyDescent="0.25">
      <c r="A35" s="171" t="s">
        <v>33</v>
      </c>
      <c r="B35" s="153"/>
      <c r="C35" s="154"/>
      <c r="D35" s="154"/>
      <c r="E35" s="155">
        <f>SUM(E31:E34)</f>
        <v>10650000</v>
      </c>
      <c r="F35" s="184">
        <f t="shared" ref="F35:N35" si="20">SUM(F31:F34)</f>
        <v>11200000</v>
      </c>
      <c r="G35" s="155">
        <f t="shared" si="20"/>
        <v>11200000</v>
      </c>
      <c r="H35" s="155"/>
      <c r="I35" s="155">
        <f t="shared" si="20"/>
        <v>11200000</v>
      </c>
      <c r="J35" s="155">
        <f t="shared" si="20"/>
        <v>11200000</v>
      </c>
      <c r="K35" s="155">
        <f t="shared" si="20"/>
        <v>0</v>
      </c>
      <c r="L35" s="155">
        <f t="shared" si="20"/>
        <v>0</v>
      </c>
      <c r="M35" s="155">
        <f t="shared" si="20"/>
        <v>11200000</v>
      </c>
      <c r="N35" s="184">
        <f t="shared" si="20"/>
        <v>11200000</v>
      </c>
      <c r="O35" s="191"/>
      <c r="P35" s="157"/>
      <c r="Q35" s="157"/>
      <c r="R35"/>
      <c r="S35"/>
    </row>
    <row r="36" spans="1:19" ht="24" customHeight="1" x14ac:dyDescent="0.2">
      <c r="A36" s="290" t="s">
        <v>34</v>
      </c>
      <c r="B36" s="220">
        <v>1</v>
      </c>
      <c r="C36" s="221" t="s">
        <v>35</v>
      </c>
      <c r="D36" s="221"/>
      <c r="E36" s="222">
        <v>2000000</v>
      </c>
      <c r="F36" s="222">
        <v>2000000</v>
      </c>
      <c r="G36" s="223">
        <f>(F36-E36)*$V$2+E36</f>
        <v>2000000</v>
      </c>
      <c r="H36" s="224">
        <v>1</v>
      </c>
      <c r="I36" s="223">
        <f t="shared" ref="I36" si="21">F36*H36</f>
        <v>2000000</v>
      </c>
      <c r="J36" s="223">
        <f t="shared" ref="J36" si="22">G36*H36</f>
        <v>2000000</v>
      </c>
      <c r="K36" s="222">
        <v>0</v>
      </c>
      <c r="L36" s="223">
        <f t="shared" ref="L36" si="23">K36*H36</f>
        <v>0</v>
      </c>
      <c r="M36" s="223">
        <f t="shared" ref="M36" si="24">I36-L36</f>
        <v>2000000</v>
      </c>
      <c r="N36" s="225">
        <f t="shared" ref="N36" si="25">J36-L36</f>
        <v>2000000</v>
      </c>
      <c r="O36" s="188"/>
      <c r="P36" s="134"/>
      <c r="Q36" s="135"/>
      <c r="R36"/>
      <c r="S36"/>
    </row>
    <row r="37" spans="1:19" ht="18" customHeight="1" thickBot="1" x14ac:dyDescent="0.25">
      <c r="A37" s="291"/>
      <c r="B37" s="233">
        <v>2</v>
      </c>
      <c r="C37" s="234" t="s">
        <v>36</v>
      </c>
      <c r="D37" s="234"/>
      <c r="E37" s="235">
        <v>2000000</v>
      </c>
      <c r="F37" s="235">
        <v>2000000</v>
      </c>
      <c r="G37" s="236">
        <f>(F37-E37)*$V$2+E37</f>
        <v>2000000</v>
      </c>
      <c r="H37" s="237">
        <v>1</v>
      </c>
      <c r="I37" s="236">
        <f>F37*H37</f>
        <v>2000000</v>
      </c>
      <c r="J37" s="236">
        <f>G37*H37</f>
        <v>2000000</v>
      </c>
      <c r="K37" s="235">
        <v>0</v>
      </c>
      <c r="L37" s="236">
        <f>K37*H37</f>
        <v>0</v>
      </c>
      <c r="M37" s="236">
        <f>I37-L37</f>
        <v>2000000</v>
      </c>
      <c r="N37" s="238">
        <f>J37-L37</f>
        <v>2000000</v>
      </c>
      <c r="O37" s="189"/>
      <c r="P37" s="142"/>
      <c r="Q37" s="143"/>
      <c r="R37"/>
      <c r="S37"/>
    </row>
    <row r="38" spans="1:19" ht="18" customHeight="1" thickBot="1" x14ac:dyDescent="0.25">
      <c r="A38" s="291"/>
      <c r="B38" s="233">
        <v>3</v>
      </c>
      <c r="C38" s="234" t="s">
        <v>105</v>
      </c>
      <c r="D38" s="234"/>
      <c r="E38" s="235">
        <v>2200000</v>
      </c>
      <c r="F38" s="235">
        <v>2200000</v>
      </c>
      <c r="G38" s="236">
        <v>2200000</v>
      </c>
      <c r="H38" s="237">
        <v>1</v>
      </c>
      <c r="I38" s="236">
        <f t="shared" ref="I38" si="26">F38*H38</f>
        <v>2200000</v>
      </c>
      <c r="J38" s="236">
        <f t="shared" ref="J38:J39" si="27">G38*H38</f>
        <v>2200000</v>
      </c>
      <c r="K38" s="235">
        <v>0</v>
      </c>
      <c r="L38" s="236">
        <f t="shared" ref="L38:L39" si="28">K38*H38</f>
        <v>0</v>
      </c>
      <c r="M38" s="236">
        <f t="shared" ref="M38:M39" si="29">I38-L38</f>
        <v>2200000</v>
      </c>
      <c r="N38" s="238">
        <f t="shared" ref="N38:N39" si="30">J38-L38</f>
        <v>2200000</v>
      </c>
      <c r="O38" s="189"/>
      <c r="P38" s="142"/>
      <c r="Q38" s="143"/>
      <c r="R38"/>
      <c r="S38"/>
    </row>
    <row r="39" spans="1:19" ht="18" customHeight="1" thickBot="1" x14ac:dyDescent="0.25">
      <c r="A39" s="291"/>
      <c r="B39" s="233">
        <v>4</v>
      </c>
      <c r="C39" s="234" t="s">
        <v>30</v>
      </c>
      <c r="D39" s="234"/>
      <c r="E39" s="235">
        <v>500000</v>
      </c>
      <c r="F39" s="235">
        <v>2000000</v>
      </c>
      <c r="G39" s="236">
        <v>1800000</v>
      </c>
      <c r="H39" s="237">
        <v>1</v>
      </c>
      <c r="I39" s="236">
        <f>F39*H39</f>
        <v>2000000</v>
      </c>
      <c r="J39" s="236">
        <f t="shared" si="27"/>
        <v>1800000</v>
      </c>
      <c r="K39" s="235">
        <v>0</v>
      </c>
      <c r="L39" s="236">
        <f t="shared" si="28"/>
        <v>0</v>
      </c>
      <c r="M39" s="236">
        <f t="shared" si="29"/>
        <v>2000000</v>
      </c>
      <c r="N39" s="238">
        <f t="shared" si="30"/>
        <v>1800000</v>
      </c>
      <c r="O39" s="189"/>
      <c r="P39" s="142"/>
      <c r="Q39" s="143"/>
      <c r="R39"/>
      <c r="S39"/>
    </row>
    <row r="40" spans="1:19" ht="19" customHeight="1" thickBot="1" x14ac:dyDescent="0.25">
      <c r="A40" s="171" t="s">
        <v>33</v>
      </c>
      <c r="B40" s="153"/>
      <c r="C40" s="154"/>
      <c r="D40" s="154"/>
      <c r="E40" s="155">
        <f>SUM(E36:E39)</f>
        <v>6700000</v>
      </c>
      <c r="F40" s="184">
        <f t="shared" ref="F40:G40" si="31">SUM(F36:F39)</f>
        <v>8200000</v>
      </c>
      <c r="G40" s="155">
        <f t="shared" si="31"/>
        <v>8000000</v>
      </c>
      <c r="H40" s="155"/>
      <c r="I40" s="155">
        <f>SUM(I36:I39)</f>
        <v>8200000</v>
      </c>
      <c r="J40" s="155">
        <f t="shared" ref="J40:M40" si="32">SUM(J36:J39)</f>
        <v>8000000</v>
      </c>
      <c r="K40" s="155">
        <f t="shared" si="32"/>
        <v>0</v>
      </c>
      <c r="L40" s="155">
        <f t="shared" si="32"/>
        <v>0</v>
      </c>
      <c r="M40" s="155">
        <f t="shared" si="32"/>
        <v>8200000</v>
      </c>
      <c r="N40" s="184">
        <f>SUM(N36:N39)</f>
        <v>8000000</v>
      </c>
      <c r="O40" s="155">
        <f t="shared" ref="O40" si="33">SUM(O36:O39)</f>
        <v>0</v>
      </c>
      <c r="P40" s="155">
        <f t="shared" ref="P40" si="34">SUM(P36:P39)</f>
        <v>0</v>
      </c>
      <c r="Q40" s="155">
        <f t="shared" ref="Q40" si="35">SUM(Q36:Q39)</f>
        <v>0</v>
      </c>
      <c r="R40"/>
      <c r="S40"/>
    </row>
    <row r="41" spans="1:19" ht="38" customHeight="1" thickBot="1" x14ac:dyDescent="0.25">
      <c r="A41" s="176" t="s">
        <v>33</v>
      </c>
      <c r="B41" s="177"/>
      <c r="C41" s="178"/>
      <c r="D41" s="178"/>
      <c r="E41" s="179">
        <f>E22+E21+E17+E11+E8+E7+E30+E35+E40</f>
        <v>113162000</v>
      </c>
      <c r="F41" s="179">
        <f>F22+F21+F17+F11+F8+F7+F30+F35+F40</f>
        <v>175434000</v>
      </c>
      <c r="G41" s="179">
        <f t="shared" ref="F41:Q41" si="36">G22+G21+G17+G11+G8+G7+G30+G35+G40</f>
        <v>161634740</v>
      </c>
      <c r="H41" s="179"/>
      <c r="I41" s="179">
        <f t="shared" si="36"/>
        <v>71874000</v>
      </c>
      <c r="J41" s="179">
        <f t="shared" si="36"/>
        <v>66926998</v>
      </c>
      <c r="K41" s="179">
        <f t="shared" si="36"/>
        <v>51950000</v>
      </c>
      <c r="L41" s="179">
        <f t="shared" si="36"/>
        <v>13767500</v>
      </c>
      <c r="M41" s="179">
        <f t="shared" si="36"/>
        <v>58106500</v>
      </c>
      <c r="N41" s="179">
        <f t="shared" si="36"/>
        <v>53159498</v>
      </c>
      <c r="O41" s="179">
        <f t="shared" si="36"/>
        <v>81300</v>
      </c>
      <c r="P41" s="179">
        <f t="shared" si="36"/>
        <v>5000</v>
      </c>
      <c r="Q41" s="179">
        <f t="shared" si="36"/>
        <v>7400</v>
      </c>
      <c r="R41"/>
      <c r="S41"/>
    </row>
    <row r="42" spans="1:19" x14ac:dyDescent="0.2">
      <c r="R42"/>
      <c r="S42"/>
    </row>
    <row r="43" spans="1:19" ht="17" thickBot="1" x14ac:dyDescent="0.25">
      <c r="R43"/>
      <c r="S43"/>
    </row>
    <row r="44" spans="1:19" ht="17" thickBot="1" x14ac:dyDescent="0.25">
      <c r="O44" s="257" t="s">
        <v>70</v>
      </c>
      <c r="P44" s="258"/>
      <c r="R44"/>
      <c r="S44"/>
    </row>
    <row r="45" spans="1:19" x14ac:dyDescent="0.2">
      <c r="G45" t="s">
        <v>129</v>
      </c>
      <c r="H45">
        <v>2200000</v>
      </c>
      <c r="K45" s="54" t="s">
        <v>71</v>
      </c>
      <c r="L45" s="52">
        <v>0</v>
      </c>
      <c r="O45" s="50" t="s">
        <v>132</v>
      </c>
      <c r="P45" s="51">
        <v>5000</v>
      </c>
      <c r="R45"/>
      <c r="S45"/>
    </row>
    <row r="46" spans="1:19" x14ac:dyDescent="0.2">
      <c r="G46" t="s">
        <v>130</v>
      </c>
      <c r="H46">
        <v>700000</v>
      </c>
      <c r="K46" s="55" t="s">
        <v>125</v>
      </c>
      <c r="L46" s="48">
        <v>5000000</v>
      </c>
      <c r="O46" s="49"/>
      <c r="P46" s="48"/>
      <c r="R46"/>
      <c r="S46"/>
    </row>
    <row r="47" spans="1:19" x14ac:dyDescent="0.2">
      <c r="K47" s="55" t="s">
        <v>126</v>
      </c>
      <c r="L47" s="48">
        <v>1000000</v>
      </c>
      <c r="O47" s="47" t="s">
        <v>72</v>
      </c>
      <c r="P47" s="48">
        <v>17000</v>
      </c>
      <c r="R47"/>
      <c r="S47"/>
    </row>
    <row r="48" spans="1:19" ht="17" thickBot="1" x14ac:dyDescent="0.25">
      <c r="G48" t="s">
        <v>131</v>
      </c>
      <c r="H48">
        <v>300000</v>
      </c>
      <c r="K48" s="55" t="s">
        <v>127</v>
      </c>
      <c r="L48" s="48">
        <v>1500000</v>
      </c>
      <c r="O48" s="58" t="s">
        <v>33</v>
      </c>
      <c r="P48" s="59">
        <f>SUM(P45:P47)</f>
        <v>22000</v>
      </c>
      <c r="R48"/>
      <c r="S48"/>
    </row>
    <row r="49" spans="11:19" x14ac:dyDescent="0.2">
      <c r="K49" s="55" t="s">
        <v>128</v>
      </c>
      <c r="L49" s="48">
        <v>0</v>
      </c>
      <c r="R49"/>
      <c r="S49"/>
    </row>
    <row r="50" spans="11:19" x14ac:dyDescent="0.2">
      <c r="K50" s="55" t="s">
        <v>73</v>
      </c>
      <c r="L50" s="48">
        <v>2100000</v>
      </c>
      <c r="R50"/>
      <c r="S50"/>
    </row>
    <row r="51" spans="11:19" ht="17" thickBot="1" x14ac:dyDescent="0.25">
      <c r="K51" s="57" t="s">
        <v>74</v>
      </c>
      <c r="L51" s="60">
        <f>SUM(L45:L50)</f>
        <v>9600000</v>
      </c>
      <c r="R51"/>
      <c r="S51"/>
    </row>
  </sheetData>
  <mergeCells count="7">
    <mergeCell ref="A2:A5"/>
    <mergeCell ref="A9:A10"/>
    <mergeCell ref="A12:A15"/>
    <mergeCell ref="A18:A20"/>
    <mergeCell ref="O44:P44"/>
    <mergeCell ref="A31:A34"/>
    <mergeCell ref="A23:A29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1934-D78D-AB42-9B48-243905322A7F}">
  <dimension ref="A1:X34"/>
  <sheetViews>
    <sheetView rightToLeft="1" zoomScale="150" zoomScaleNormal="110" workbookViewId="0">
      <selection activeCell="E6" sqref="E6"/>
    </sheetView>
  </sheetViews>
  <sheetFormatPr baseColWidth="10" defaultColWidth="30.140625" defaultRowHeight="16" x14ac:dyDescent="0.2"/>
  <cols>
    <col min="1" max="1" width="15.140625" style="2" bestFit="1" customWidth="1"/>
    <col min="2" max="2" width="5.85546875" customWidth="1"/>
    <col min="3" max="3" width="18" bestFit="1" customWidth="1"/>
    <col min="4" max="4" width="7.140625" bestFit="1" customWidth="1"/>
    <col min="5" max="5" width="14.5703125" bestFit="1" customWidth="1"/>
    <col min="6" max="7" width="15.5703125" bestFit="1" customWidth="1"/>
    <col min="8" max="8" width="8" bestFit="1" customWidth="1"/>
    <col min="9" max="9" width="18.140625" bestFit="1" customWidth="1"/>
    <col min="10" max="10" width="16.7109375" bestFit="1" customWidth="1"/>
    <col min="11" max="12" width="14.42578125" bestFit="1" customWidth="1"/>
    <col min="13" max="13" width="16.7109375" bestFit="1" customWidth="1"/>
    <col min="14" max="14" width="14.42578125" bestFit="1" customWidth="1"/>
    <col min="15" max="15" width="13" style="43" bestFit="1" customWidth="1"/>
    <col min="16" max="16" width="11.7109375" style="43" bestFit="1" customWidth="1"/>
    <col min="17" max="17" width="13.140625" style="43" bestFit="1" customWidth="1"/>
    <col min="18" max="18" width="12.7109375" style="2" customWidth="1"/>
    <col min="19" max="19" width="14.42578125" style="2" customWidth="1"/>
    <col min="20" max="20" width="22.5703125" bestFit="1" customWidth="1"/>
    <col min="21" max="21" width="14" bestFit="1" customWidth="1"/>
    <col min="22" max="22" width="18.5703125" bestFit="1" customWidth="1"/>
    <col min="23" max="23" width="10.28515625" bestFit="1" customWidth="1"/>
    <col min="24" max="24" width="8.28515625" bestFit="1" customWidth="1"/>
    <col min="25" max="25" width="12.42578125" customWidth="1"/>
    <col min="26" max="26" width="12.28515625" customWidth="1"/>
    <col min="27" max="27" width="12.140625" customWidth="1"/>
    <col min="28" max="28" width="12.5703125" customWidth="1"/>
    <col min="34" max="34" width="10.28515625" bestFit="1" customWidth="1"/>
    <col min="35" max="35" width="8.28515625" bestFit="1" customWidth="1"/>
  </cols>
  <sheetData>
    <row r="1" spans="1:24" s="2" customFormat="1" ht="67" thickBot="1" x14ac:dyDescent="0.25">
      <c r="A1" s="128"/>
      <c r="B1" s="7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10" t="s">
        <v>5</v>
      </c>
      <c r="H1" s="11" t="s">
        <v>6</v>
      </c>
      <c r="I1" s="10" t="s">
        <v>7</v>
      </c>
      <c r="J1" s="10" t="s">
        <v>8</v>
      </c>
      <c r="K1" s="9" t="s">
        <v>9</v>
      </c>
      <c r="L1" s="10" t="s">
        <v>10</v>
      </c>
      <c r="M1" s="10" t="s">
        <v>11</v>
      </c>
      <c r="N1" s="180" t="s">
        <v>99</v>
      </c>
      <c r="O1" s="186" t="s">
        <v>68</v>
      </c>
      <c r="P1" s="9" t="s">
        <v>69</v>
      </c>
      <c r="Q1" s="187" t="s">
        <v>93</v>
      </c>
      <c r="W1" s="3" t="s">
        <v>37</v>
      </c>
      <c r="X1" s="3" t="s">
        <v>38</v>
      </c>
    </row>
    <row r="2" spans="1:24" x14ac:dyDescent="0.2">
      <c r="A2" s="252" t="s">
        <v>13</v>
      </c>
      <c r="B2" s="129">
        <v>1</v>
      </c>
      <c r="C2" s="130" t="s">
        <v>14</v>
      </c>
      <c r="D2" s="130">
        <v>1996</v>
      </c>
      <c r="E2" s="131">
        <v>0</v>
      </c>
      <c r="F2" s="131">
        <v>750000</v>
      </c>
      <c r="G2" s="132">
        <f t="shared" ref="G2:G6" si="0">(F2-E2)*$W$2+E2</f>
        <v>577500</v>
      </c>
      <c r="H2" s="133">
        <v>1</v>
      </c>
      <c r="I2" s="132">
        <f t="shared" ref="I2:I6" si="1">F2*H2</f>
        <v>750000</v>
      </c>
      <c r="J2" s="132">
        <f t="shared" ref="J2:J6" si="2">G2*H2</f>
        <v>577500</v>
      </c>
      <c r="K2" s="131">
        <v>0</v>
      </c>
      <c r="L2" s="132">
        <f t="shared" ref="L2:L6" si="3">K2*H2</f>
        <v>0</v>
      </c>
      <c r="M2" s="132">
        <f t="shared" ref="M2:M6" si="4">I2-L2</f>
        <v>750000</v>
      </c>
      <c r="N2" s="181">
        <f t="shared" ref="N2:N6" si="5">J2-L2</f>
        <v>577500</v>
      </c>
      <c r="O2" s="188">
        <v>25000</v>
      </c>
      <c r="P2" s="134">
        <v>45000</v>
      </c>
      <c r="Q2" s="135">
        <v>0</v>
      </c>
      <c r="R2"/>
      <c r="S2"/>
      <c r="W2" s="1">
        <v>0.77</v>
      </c>
      <c r="X2">
        <v>12</v>
      </c>
    </row>
    <row r="3" spans="1:24" x14ac:dyDescent="0.2">
      <c r="A3" s="253"/>
      <c r="B3" s="137">
        <v>2</v>
      </c>
      <c r="C3" s="138" t="s">
        <v>15</v>
      </c>
      <c r="D3" s="138">
        <v>2006</v>
      </c>
      <c r="E3" s="139">
        <v>420000</v>
      </c>
      <c r="F3" s="139">
        <v>2000000</v>
      </c>
      <c r="G3" s="140">
        <f t="shared" si="0"/>
        <v>1636600</v>
      </c>
      <c r="H3" s="141">
        <v>1</v>
      </c>
      <c r="I3" s="140">
        <f t="shared" si="1"/>
        <v>2000000</v>
      </c>
      <c r="J3" s="140">
        <f t="shared" si="2"/>
        <v>1636600</v>
      </c>
      <c r="K3" s="139">
        <v>0</v>
      </c>
      <c r="L3" s="140">
        <f t="shared" si="3"/>
        <v>0</v>
      </c>
      <c r="M3" s="140">
        <f t="shared" si="4"/>
        <v>2000000</v>
      </c>
      <c r="N3" s="182">
        <f t="shared" si="5"/>
        <v>1636600</v>
      </c>
      <c r="O3" s="189">
        <v>8000</v>
      </c>
      <c r="P3" s="142">
        <v>0</v>
      </c>
      <c r="Q3" s="143">
        <v>0</v>
      </c>
      <c r="R3"/>
      <c r="S3"/>
      <c r="W3" s="1">
        <v>0.9</v>
      </c>
    </row>
    <row r="4" spans="1:24" x14ac:dyDescent="0.2">
      <c r="A4" s="253"/>
      <c r="B4" s="137">
        <v>3</v>
      </c>
      <c r="C4" s="138" t="s">
        <v>16</v>
      </c>
      <c r="D4" s="138">
        <v>2005</v>
      </c>
      <c r="E4" s="139">
        <v>130000</v>
      </c>
      <c r="F4" s="139">
        <v>900000</v>
      </c>
      <c r="G4" s="140">
        <f t="shared" si="0"/>
        <v>722900</v>
      </c>
      <c r="H4" s="141">
        <v>1</v>
      </c>
      <c r="I4" s="140">
        <f t="shared" si="1"/>
        <v>900000</v>
      </c>
      <c r="J4" s="140">
        <f t="shared" si="2"/>
        <v>722900</v>
      </c>
      <c r="K4" s="139">
        <v>0</v>
      </c>
      <c r="L4" s="140">
        <f t="shared" si="3"/>
        <v>0</v>
      </c>
      <c r="M4" s="140">
        <f t="shared" si="4"/>
        <v>900000</v>
      </c>
      <c r="N4" s="182">
        <f t="shared" si="5"/>
        <v>722900</v>
      </c>
      <c r="O4" s="189">
        <v>4500</v>
      </c>
      <c r="P4" s="142">
        <v>0</v>
      </c>
      <c r="Q4" s="143">
        <v>0</v>
      </c>
      <c r="R4"/>
      <c r="S4"/>
    </row>
    <row r="5" spans="1:24" ht="17" thickBot="1" x14ac:dyDescent="0.25">
      <c r="A5" s="253"/>
      <c r="B5" s="137">
        <v>4</v>
      </c>
      <c r="C5" s="138" t="s">
        <v>17</v>
      </c>
      <c r="D5" s="138">
        <v>2016</v>
      </c>
      <c r="E5" s="139">
        <v>2500000</v>
      </c>
      <c r="F5" s="139">
        <v>7000000</v>
      </c>
      <c r="G5" s="140">
        <f t="shared" si="0"/>
        <v>5965000</v>
      </c>
      <c r="H5" s="141">
        <v>0.33</v>
      </c>
      <c r="I5" s="140">
        <f t="shared" si="1"/>
        <v>2310000</v>
      </c>
      <c r="J5" s="140">
        <f t="shared" si="2"/>
        <v>1968450</v>
      </c>
      <c r="K5" s="139">
        <v>0</v>
      </c>
      <c r="L5" s="140">
        <f t="shared" si="3"/>
        <v>0</v>
      </c>
      <c r="M5" s="140">
        <f t="shared" si="4"/>
        <v>2310000</v>
      </c>
      <c r="N5" s="182">
        <f t="shared" si="5"/>
        <v>1968450</v>
      </c>
      <c r="O5" s="189">
        <v>16300</v>
      </c>
      <c r="P5" s="142">
        <v>0</v>
      </c>
      <c r="Q5" s="143">
        <v>0</v>
      </c>
      <c r="R5"/>
      <c r="S5"/>
    </row>
    <row r="6" spans="1:24" ht="49" thickBot="1" x14ac:dyDescent="0.25">
      <c r="A6" s="144" t="s">
        <v>62</v>
      </c>
      <c r="B6" s="145">
        <v>1</v>
      </c>
      <c r="C6" s="146" t="s">
        <v>29</v>
      </c>
      <c r="D6" s="146">
        <v>2019</v>
      </c>
      <c r="E6" s="147">
        <v>1450000</v>
      </c>
      <c r="F6" s="147">
        <v>3000000</v>
      </c>
      <c r="G6" s="148">
        <f t="shared" si="0"/>
        <v>2643500</v>
      </c>
      <c r="H6" s="149">
        <v>0.5</v>
      </c>
      <c r="I6" s="148">
        <f t="shared" si="1"/>
        <v>1500000</v>
      </c>
      <c r="J6" s="148">
        <f t="shared" si="2"/>
        <v>1321750</v>
      </c>
      <c r="K6" s="147">
        <v>0</v>
      </c>
      <c r="L6" s="148">
        <f t="shared" si="3"/>
        <v>0</v>
      </c>
      <c r="M6" s="148">
        <f t="shared" si="4"/>
        <v>1500000</v>
      </c>
      <c r="N6" s="183">
        <f t="shared" si="5"/>
        <v>1321750</v>
      </c>
      <c r="O6" s="190">
        <v>12500</v>
      </c>
      <c r="P6" s="150">
        <v>5000</v>
      </c>
      <c r="Q6" s="143">
        <v>0</v>
      </c>
      <c r="R6"/>
      <c r="S6"/>
    </row>
    <row r="7" spans="1:24" ht="25" thickBot="1" x14ac:dyDescent="0.25">
      <c r="A7" s="152" t="s">
        <v>80</v>
      </c>
      <c r="B7" s="153"/>
      <c r="C7" s="154"/>
      <c r="D7" s="154"/>
      <c r="E7" s="155">
        <f>SUM(E2:E6)</f>
        <v>4500000</v>
      </c>
      <c r="F7" s="175">
        <f>SUM(F2:F6)</f>
        <v>13650000</v>
      </c>
      <c r="G7" s="155">
        <f>SUM(G2:G6)</f>
        <v>11545500</v>
      </c>
      <c r="H7" s="156" t="s">
        <v>102</v>
      </c>
      <c r="I7" s="155">
        <f t="shared" ref="I7:P7" si="6">SUM(I2:I6)</f>
        <v>7460000</v>
      </c>
      <c r="J7" s="155">
        <f t="shared" si="6"/>
        <v>6227200</v>
      </c>
      <c r="K7" s="155">
        <f t="shared" si="6"/>
        <v>0</v>
      </c>
      <c r="L7" s="155">
        <f t="shared" si="6"/>
        <v>0</v>
      </c>
      <c r="M7" s="155">
        <f t="shared" si="6"/>
        <v>7460000</v>
      </c>
      <c r="N7" s="184">
        <f t="shared" si="6"/>
        <v>6227200</v>
      </c>
      <c r="O7" s="191">
        <f t="shared" si="6"/>
        <v>66300</v>
      </c>
      <c r="P7" s="155">
        <f t="shared" si="6"/>
        <v>50000</v>
      </c>
      <c r="Q7" s="157"/>
      <c r="R7"/>
      <c r="S7"/>
    </row>
    <row r="8" spans="1:24" ht="25" thickBot="1" x14ac:dyDescent="0.25">
      <c r="A8" s="158" t="s">
        <v>63</v>
      </c>
      <c r="B8" s="159">
        <v>1</v>
      </c>
      <c r="C8" s="160" t="s">
        <v>65</v>
      </c>
      <c r="D8" s="160">
        <v>2021</v>
      </c>
      <c r="E8" s="161">
        <v>30000000</v>
      </c>
      <c r="F8" s="175">
        <v>35000000</v>
      </c>
      <c r="G8" s="162">
        <f>(F8-E8)*$W$2+E8</f>
        <v>33850000</v>
      </c>
      <c r="H8" s="163">
        <v>0.16700000000000001</v>
      </c>
      <c r="I8" s="162">
        <f>F8*H8</f>
        <v>5845000</v>
      </c>
      <c r="J8" s="162">
        <f>G8*H8</f>
        <v>5652950</v>
      </c>
      <c r="K8" s="161">
        <v>15000000</v>
      </c>
      <c r="L8" s="162">
        <f>K8*H8</f>
        <v>2505000</v>
      </c>
      <c r="M8" s="162">
        <f>I8-L8</f>
        <v>3340000</v>
      </c>
      <c r="N8" s="184">
        <f>J8-L8</f>
        <v>3147950</v>
      </c>
      <c r="O8" s="191">
        <v>0</v>
      </c>
      <c r="P8" s="155">
        <v>0</v>
      </c>
      <c r="Q8" s="157"/>
      <c r="R8"/>
      <c r="S8"/>
    </row>
    <row r="9" spans="1:24" x14ac:dyDescent="0.2">
      <c r="A9" s="254" t="s">
        <v>20</v>
      </c>
      <c r="B9" s="129">
        <v>1</v>
      </c>
      <c r="C9" s="130" t="s">
        <v>21</v>
      </c>
      <c r="D9" s="130">
        <v>2016</v>
      </c>
      <c r="E9" s="131">
        <v>7000000</v>
      </c>
      <c r="F9" s="131">
        <v>25000000</v>
      </c>
      <c r="G9" s="132">
        <f>(F9-E9)*$W$2+E9</f>
        <v>20860000</v>
      </c>
      <c r="H9" s="133">
        <v>0.25</v>
      </c>
      <c r="I9" s="132">
        <f>F9*H9</f>
        <v>6250000</v>
      </c>
      <c r="J9" s="132">
        <f>G9*H9</f>
        <v>5215000</v>
      </c>
      <c r="K9" s="131">
        <v>9700000</v>
      </c>
      <c r="L9" s="132">
        <f>K9*H9</f>
        <v>2425000</v>
      </c>
      <c r="M9" s="132">
        <f>I9-L9</f>
        <v>3825000</v>
      </c>
      <c r="N9" s="181">
        <f>J9-L9</f>
        <v>2790000</v>
      </c>
      <c r="O9" s="188">
        <v>5000</v>
      </c>
      <c r="P9" s="134">
        <v>0</v>
      </c>
      <c r="Q9" s="135">
        <v>0</v>
      </c>
      <c r="R9"/>
      <c r="S9"/>
    </row>
    <row r="10" spans="1:24" ht="17" thickBot="1" x14ac:dyDescent="0.25">
      <c r="A10" s="255"/>
      <c r="B10" s="164">
        <v>2</v>
      </c>
      <c r="C10" s="165" t="s">
        <v>22</v>
      </c>
      <c r="D10" s="165">
        <v>2019</v>
      </c>
      <c r="E10" s="166">
        <v>18000000</v>
      </c>
      <c r="F10" s="166">
        <v>30000000</v>
      </c>
      <c r="G10" s="167">
        <f>(F10-E10)*$W$2+E10</f>
        <v>27240000</v>
      </c>
      <c r="H10" s="168">
        <v>0.25</v>
      </c>
      <c r="I10" s="167">
        <f>F10*H10</f>
        <v>7500000</v>
      </c>
      <c r="J10" s="167">
        <f>G10*H10</f>
        <v>6810000</v>
      </c>
      <c r="K10" s="166">
        <v>9750000</v>
      </c>
      <c r="L10" s="167">
        <f>K10*H10</f>
        <v>2437500</v>
      </c>
      <c r="M10" s="167">
        <f>I10-L10</f>
        <v>5062500</v>
      </c>
      <c r="N10" s="185">
        <f>J10-L10</f>
        <v>4372500</v>
      </c>
      <c r="O10" s="192">
        <v>7500</v>
      </c>
      <c r="P10" s="169">
        <v>0</v>
      </c>
      <c r="Q10" s="170">
        <v>0</v>
      </c>
      <c r="R10"/>
      <c r="S10"/>
    </row>
    <row r="11" spans="1:24" ht="25" thickBot="1" x14ac:dyDescent="0.25">
      <c r="A11" s="171" t="s">
        <v>33</v>
      </c>
      <c r="B11" s="153"/>
      <c r="C11" s="154"/>
      <c r="D11" s="154"/>
      <c r="E11" s="155">
        <f>SUM(E9:E10)</f>
        <v>25000000</v>
      </c>
      <c r="F11" s="175">
        <f t="shared" ref="F11:P11" si="7">SUM(F9:F10)</f>
        <v>55000000</v>
      </c>
      <c r="G11" s="155">
        <f t="shared" si="7"/>
        <v>48100000</v>
      </c>
      <c r="H11" s="155" t="s">
        <v>102</v>
      </c>
      <c r="I11" s="155">
        <f t="shared" si="7"/>
        <v>13750000</v>
      </c>
      <c r="J11" s="155">
        <f t="shared" si="7"/>
        <v>12025000</v>
      </c>
      <c r="K11" s="155">
        <f t="shared" si="7"/>
        <v>19450000</v>
      </c>
      <c r="L11" s="155">
        <f t="shared" si="7"/>
        <v>4862500</v>
      </c>
      <c r="M11" s="155">
        <f t="shared" si="7"/>
        <v>8887500</v>
      </c>
      <c r="N11" s="184">
        <f t="shared" si="7"/>
        <v>7162500</v>
      </c>
      <c r="O11" s="191">
        <f t="shared" si="7"/>
        <v>12500</v>
      </c>
      <c r="P11" s="155">
        <f t="shared" si="7"/>
        <v>0</v>
      </c>
      <c r="Q11" s="157"/>
      <c r="R11"/>
      <c r="S11"/>
    </row>
    <row r="12" spans="1:24" ht="17" customHeight="1" thickBot="1" x14ac:dyDescent="0.25">
      <c r="A12" s="252" t="s">
        <v>64</v>
      </c>
      <c r="B12" s="146">
        <v>1</v>
      </c>
      <c r="C12" s="146" t="s">
        <v>133</v>
      </c>
      <c r="D12" s="146">
        <v>2022</v>
      </c>
      <c r="E12" s="147">
        <v>1300000</v>
      </c>
      <c r="F12" s="147">
        <v>1300000</v>
      </c>
      <c r="G12" s="148">
        <f>(F12-E12)*$W$2+E12</f>
        <v>1300000</v>
      </c>
      <c r="H12" s="149">
        <v>0.5</v>
      </c>
      <c r="I12" s="148">
        <f t="shared" ref="I12:I23" si="8">F12*H12</f>
        <v>650000</v>
      </c>
      <c r="J12" s="148">
        <f t="shared" ref="J12:J23" si="9">G12*H12</f>
        <v>650000</v>
      </c>
      <c r="K12" s="147">
        <v>0</v>
      </c>
      <c r="L12" s="148">
        <f>K12*H12</f>
        <v>0</v>
      </c>
      <c r="M12" s="148">
        <f>I12-L12</f>
        <v>650000</v>
      </c>
      <c r="N12" s="183">
        <f>J12-L12</f>
        <v>650000</v>
      </c>
      <c r="O12" s="190">
        <v>5000</v>
      </c>
      <c r="P12" s="150">
        <v>1000</v>
      </c>
      <c r="Q12" s="151">
        <f>O12-P12</f>
        <v>4000</v>
      </c>
      <c r="R12"/>
      <c r="S12"/>
    </row>
    <row r="13" spans="1:24" ht="17" customHeight="1" thickBot="1" x14ac:dyDescent="0.25">
      <c r="A13" s="253"/>
      <c r="B13" s="172">
        <v>2</v>
      </c>
      <c r="C13" s="146" t="s">
        <v>134</v>
      </c>
      <c r="D13" s="146">
        <v>2025</v>
      </c>
      <c r="E13" s="147">
        <v>1512000</v>
      </c>
      <c r="F13" s="147">
        <v>1600000</v>
      </c>
      <c r="G13" s="148">
        <f>(F13-E13)*$W$2+E13</f>
        <v>1579760</v>
      </c>
      <c r="H13" s="149">
        <v>0.5</v>
      </c>
      <c r="I13" s="148">
        <f t="shared" si="8"/>
        <v>800000</v>
      </c>
      <c r="J13" s="148">
        <f t="shared" si="9"/>
        <v>789880</v>
      </c>
      <c r="K13" s="147">
        <v>0</v>
      </c>
      <c r="L13" s="148">
        <f>K13*H13</f>
        <v>0</v>
      </c>
      <c r="M13" s="148">
        <f>I13-L13</f>
        <v>800000</v>
      </c>
      <c r="N13" s="183">
        <f>J13-L13</f>
        <v>789880</v>
      </c>
      <c r="O13" s="190">
        <v>5000</v>
      </c>
      <c r="P13" s="150">
        <v>1000</v>
      </c>
      <c r="Q13" s="151">
        <f>O13-P13</f>
        <v>4000</v>
      </c>
      <c r="R13"/>
      <c r="S13"/>
    </row>
    <row r="14" spans="1:24" ht="17" customHeight="1" thickBot="1" x14ac:dyDescent="0.25">
      <c r="A14" s="253"/>
      <c r="B14" s="172">
        <v>3</v>
      </c>
      <c r="C14" s="146" t="s">
        <v>135</v>
      </c>
      <c r="D14" s="146">
        <v>2023</v>
      </c>
      <c r="E14" s="147">
        <v>144000</v>
      </c>
      <c r="F14" s="147">
        <v>270000</v>
      </c>
      <c r="G14" s="148">
        <f>(F14-E14)*$W$2+E14</f>
        <v>241020</v>
      </c>
      <c r="H14" s="149">
        <v>0.5</v>
      </c>
      <c r="I14" s="148">
        <f t="shared" si="8"/>
        <v>135000</v>
      </c>
      <c r="J14" s="148">
        <f t="shared" si="9"/>
        <v>120510</v>
      </c>
      <c r="K14" s="147">
        <v>0</v>
      </c>
      <c r="L14" s="148">
        <f>K14*H14</f>
        <v>0</v>
      </c>
      <c r="M14" s="148">
        <f>I14-L14</f>
        <v>135000</v>
      </c>
      <c r="N14" s="183">
        <f>J14-L14</f>
        <v>120510</v>
      </c>
      <c r="O14" s="190">
        <v>0</v>
      </c>
      <c r="P14" s="150">
        <v>0</v>
      </c>
      <c r="Q14" s="151">
        <f t="shared" ref="Q14:Q17" si="10">O14-P14</f>
        <v>0</v>
      </c>
    </row>
    <row r="15" spans="1:24" ht="17" customHeight="1" thickBot="1" x14ac:dyDescent="0.25">
      <c r="A15" s="253"/>
      <c r="B15" s="172">
        <v>4</v>
      </c>
      <c r="C15" s="146" t="s">
        <v>136</v>
      </c>
      <c r="D15" s="146">
        <v>2023</v>
      </c>
      <c r="E15" s="147">
        <v>126000</v>
      </c>
      <c r="F15" s="147">
        <v>170000</v>
      </c>
      <c r="G15" s="148">
        <f>(F15-E15)*$W$2+E15</f>
        <v>159880</v>
      </c>
      <c r="H15" s="149">
        <v>1</v>
      </c>
      <c r="I15" s="148">
        <f t="shared" si="8"/>
        <v>170000</v>
      </c>
      <c r="J15" s="148">
        <f t="shared" si="9"/>
        <v>159880</v>
      </c>
      <c r="K15" s="147">
        <v>0</v>
      </c>
      <c r="L15" s="148">
        <f>K15*H15</f>
        <v>0</v>
      </c>
      <c r="M15" s="148">
        <f>I15-L15</f>
        <v>170000</v>
      </c>
      <c r="N15" s="183">
        <f>J15-L15</f>
        <v>159880</v>
      </c>
      <c r="O15" s="190">
        <v>0</v>
      </c>
      <c r="P15" s="150">
        <v>0</v>
      </c>
      <c r="Q15" s="151">
        <f t="shared" si="10"/>
        <v>0</v>
      </c>
    </row>
    <row r="16" spans="1:24" ht="17" customHeight="1" thickBot="1" x14ac:dyDescent="0.25">
      <c r="A16" s="136"/>
      <c r="B16" s="172">
        <v>5</v>
      </c>
      <c r="C16" s="146" t="s">
        <v>141</v>
      </c>
      <c r="D16" s="146">
        <v>2025</v>
      </c>
      <c r="E16" s="147">
        <v>1050000</v>
      </c>
      <c r="F16" s="147">
        <v>1300000</v>
      </c>
      <c r="G16" s="148">
        <f>(F16-E16)*$W$2+E16</f>
        <v>1242500</v>
      </c>
      <c r="H16" s="149">
        <v>0.5</v>
      </c>
      <c r="I16" s="148">
        <f t="shared" si="8"/>
        <v>650000</v>
      </c>
      <c r="J16" s="148">
        <f t="shared" si="9"/>
        <v>621250</v>
      </c>
      <c r="K16" s="147">
        <v>0</v>
      </c>
      <c r="L16" s="148">
        <f>K16*H16</f>
        <v>0</v>
      </c>
      <c r="M16" s="148">
        <f>I16-L16</f>
        <v>650000</v>
      </c>
      <c r="N16" s="183">
        <f>J16-L16</f>
        <v>621250</v>
      </c>
      <c r="O16" s="190">
        <v>4000</v>
      </c>
      <c r="P16" s="150">
        <v>1000</v>
      </c>
      <c r="Q16" s="151">
        <f t="shared" si="10"/>
        <v>3000</v>
      </c>
    </row>
    <row r="17" spans="1:19" ht="25" thickBot="1" x14ac:dyDescent="0.25">
      <c r="A17" s="144" t="s">
        <v>101</v>
      </c>
      <c r="B17" s="172">
        <v>1</v>
      </c>
      <c r="C17" s="146" t="s">
        <v>137</v>
      </c>
      <c r="D17" s="146">
        <v>2023</v>
      </c>
      <c r="E17" s="147">
        <v>0</v>
      </c>
      <c r="F17" s="147">
        <v>100000</v>
      </c>
      <c r="G17" s="148">
        <f>(F17-E17)*$W$2+E17</f>
        <v>77000</v>
      </c>
      <c r="H17" s="149">
        <v>1</v>
      </c>
      <c r="I17" s="148">
        <f t="shared" si="8"/>
        <v>100000</v>
      </c>
      <c r="J17" s="148">
        <f t="shared" si="9"/>
        <v>77000</v>
      </c>
      <c r="K17" s="147">
        <v>0</v>
      </c>
      <c r="L17" s="148">
        <f>K17*H17</f>
        <v>0</v>
      </c>
      <c r="M17" s="148">
        <f>I17-L17</f>
        <v>100000</v>
      </c>
      <c r="N17" s="183">
        <f>J17-L17</f>
        <v>77000</v>
      </c>
      <c r="O17" s="190">
        <v>1000</v>
      </c>
      <c r="P17" s="150">
        <v>0</v>
      </c>
      <c r="Q17" s="151">
        <f t="shared" si="10"/>
        <v>1000</v>
      </c>
    </row>
    <row r="18" spans="1:19" ht="25" thickBot="1" x14ac:dyDescent="0.25">
      <c r="A18" s="171" t="s">
        <v>33</v>
      </c>
      <c r="B18" s="153"/>
      <c r="C18" s="154"/>
      <c r="D18" s="154"/>
      <c r="E18" s="155">
        <f>SUM(E12:E17)</f>
        <v>4132000</v>
      </c>
      <c r="F18" s="175">
        <f>SUM(F12:F17)</f>
        <v>4740000</v>
      </c>
      <c r="G18" s="173">
        <f>SUM(G12:G15)</f>
        <v>3280660</v>
      </c>
      <c r="H18" s="155"/>
      <c r="I18" s="155">
        <f>SUM(I12:I15)</f>
        <v>1755000</v>
      </c>
      <c r="J18" s="155">
        <f t="shared" ref="J18:M18" si="11">SUM(J12:J15)</f>
        <v>1720270</v>
      </c>
      <c r="K18" s="155">
        <f>SUM(K12:K17)</f>
        <v>0</v>
      </c>
      <c r="L18" s="155">
        <f t="shared" si="11"/>
        <v>0</v>
      </c>
      <c r="M18" s="155">
        <f t="shared" si="11"/>
        <v>1755000</v>
      </c>
      <c r="N18" s="184">
        <f>SUM(N12:N15)</f>
        <v>1720270</v>
      </c>
      <c r="O18" s="191"/>
      <c r="P18" s="155"/>
      <c r="Q18" s="157">
        <f>SUM(Q12:Q17)</f>
        <v>12000</v>
      </c>
    </row>
    <row r="19" spans="1:19" ht="17" thickBot="1" x14ac:dyDescent="0.25">
      <c r="A19" s="254" t="s">
        <v>67</v>
      </c>
      <c r="B19" s="172">
        <v>1</v>
      </c>
      <c r="C19" s="146" t="s">
        <v>32</v>
      </c>
      <c r="D19" s="146">
        <v>2016</v>
      </c>
      <c r="E19" s="147">
        <v>1600000</v>
      </c>
      <c r="F19" s="147">
        <v>4000000</v>
      </c>
      <c r="G19" s="148">
        <f>(F19-E19)*$W$3+E19</f>
        <v>3760000</v>
      </c>
      <c r="H19" s="149">
        <v>0.5</v>
      </c>
      <c r="I19" s="148">
        <f t="shared" si="8"/>
        <v>2000000</v>
      </c>
      <c r="J19" s="148">
        <f t="shared" si="9"/>
        <v>1880000</v>
      </c>
      <c r="K19" s="147">
        <v>2600000</v>
      </c>
      <c r="L19" s="148">
        <f>K19*H19</f>
        <v>1300000</v>
      </c>
      <c r="M19" s="148">
        <f>I19-L19</f>
        <v>700000</v>
      </c>
      <c r="N19" s="183">
        <f>J19-L19</f>
        <v>580000</v>
      </c>
      <c r="O19" s="190"/>
      <c r="P19" s="150">
        <v>0</v>
      </c>
      <c r="Q19" s="151">
        <v>2500</v>
      </c>
      <c r="R19"/>
      <c r="S19"/>
    </row>
    <row r="20" spans="1:19" ht="17" thickBot="1" x14ac:dyDescent="0.25">
      <c r="A20" s="255"/>
      <c r="B20" s="172">
        <v>2</v>
      </c>
      <c r="C20" s="146" t="s">
        <v>123</v>
      </c>
      <c r="D20" s="146">
        <v>2025</v>
      </c>
      <c r="E20" s="147">
        <v>7000000</v>
      </c>
      <c r="F20" s="147">
        <v>7000000</v>
      </c>
      <c r="G20" s="148">
        <v>7000000</v>
      </c>
      <c r="H20" s="149">
        <v>0.5</v>
      </c>
      <c r="I20" s="148">
        <f t="shared" si="8"/>
        <v>3500000</v>
      </c>
      <c r="J20" s="148">
        <f t="shared" si="9"/>
        <v>3500000</v>
      </c>
      <c r="K20" s="147">
        <v>3400000</v>
      </c>
      <c r="L20" s="148">
        <f>K20*H20</f>
        <v>1700000</v>
      </c>
      <c r="M20" s="148">
        <f>I20-L20</f>
        <v>1800000</v>
      </c>
      <c r="N20" s="183">
        <f>J20-L20</f>
        <v>1800000</v>
      </c>
      <c r="O20" s="190"/>
      <c r="P20" s="150"/>
      <c r="Q20" s="151"/>
      <c r="R20"/>
      <c r="S20"/>
    </row>
    <row r="21" spans="1:19" ht="17" thickBot="1" x14ac:dyDescent="0.25">
      <c r="A21" s="256"/>
      <c r="B21" s="172">
        <v>3</v>
      </c>
      <c r="C21" s="146" t="s">
        <v>124</v>
      </c>
      <c r="D21" s="146">
        <v>2025</v>
      </c>
      <c r="E21" s="147">
        <v>660000</v>
      </c>
      <c r="F21" s="147">
        <v>800000</v>
      </c>
      <c r="G21" s="148">
        <f>F21</f>
        <v>800000</v>
      </c>
      <c r="H21" s="149">
        <v>0.5</v>
      </c>
      <c r="I21" s="148">
        <f t="shared" si="8"/>
        <v>400000</v>
      </c>
      <c r="J21" s="148">
        <f t="shared" si="9"/>
        <v>400000</v>
      </c>
      <c r="K21" s="147">
        <v>480000</v>
      </c>
      <c r="L21" s="148">
        <f>K21*H21</f>
        <v>240000</v>
      </c>
      <c r="M21" s="148">
        <f>I21-L21</f>
        <v>160000</v>
      </c>
      <c r="N21" s="183">
        <f>J21-L21</f>
        <v>160000</v>
      </c>
      <c r="O21" s="190"/>
      <c r="P21" s="150"/>
      <c r="Q21" s="151"/>
      <c r="R21"/>
      <c r="S21"/>
    </row>
    <row r="22" spans="1:19" ht="25" thickBot="1" x14ac:dyDescent="0.25">
      <c r="A22" s="171" t="s">
        <v>80</v>
      </c>
      <c r="B22" s="153"/>
      <c r="C22" s="154"/>
      <c r="D22" s="154"/>
      <c r="E22" s="155">
        <f>SUM(E19:E21)</f>
        <v>9260000</v>
      </c>
      <c r="F22" s="175">
        <f>SUM(F19:F21)</f>
        <v>11800000</v>
      </c>
      <c r="G22" s="173">
        <f>SUM(G19:G21)</f>
        <v>11560000</v>
      </c>
      <c r="H22" s="155"/>
      <c r="I22" s="155">
        <f>SUM(I19:I21)</f>
        <v>5900000</v>
      </c>
      <c r="J22" s="155">
        <f t="shared" ref="J22:L22" si="12">SUM(J19:J21)</f>
        <v>5780000</v>
      </c>
      <c r="K22" s="155">
        <f t="shared" si="12"/>
        <v>6480000</v>
      </c>
      <c r="L22" s="155">
        <f t="shared" si="12"/>
        <v>3240000</v>
      </c>
      <c r="M22" s="155">
        <f>SUM(M19:M21)</f>
        <v>2660000</v>
      </c>
      <c r="N22" s="184">
        <f>SUM(N19:N21)</f>
        <v>2540000</v>
      </c>
      <c r="O22" s="191"/>
      <c r="P22" s="157"/>
      <c r="Q22" s="157"/>
      <c r="R22"/>
      <c r="S22"/>
    </row>
    <row r="23" spans="1:19" ht="25" thickBot="1" x14ac:dyDescent="0.25">
      <c r="A23" s="144" t="s">
        <v>121</v>
      </c>
      <c r="B23" s="159">
        <v>1</v>
      </c>
      <c r="C23" s="160" t="s">
        <v>122</v>
      </c>
      <c r="D23" s="160">
        <v>2023</v>
      </c>
      <c r="E23" s="161">
        <v>350000</v>
      </c>
      <c r="F23" s="175">
        <v>350000</v>
      </c>
      <c r="G23" s="162">
        <f>(F23-E23)*$W$2+E23</f>
        <v>350000</v>
      </c>
      <c r="H23" s="163">
        <v>0.5</v>
      </c>
      <c r="I23" s="162">
        <f t="shared" si="8"/>
        <v>175000</v>
      </c>
      <c r="J23" s="162">
        <f t="shared" si="9"/>
        <v>175000</v>
      </c>
      <c r="K23" s="161">
        <v>0</v>
      </c>
      <c r="L23" s="162">
        <f>K23*H23</f>
        <v>0</v>
      </c>
      <c r="M23" s="162">
        <f>I23-L23</f>
        <v>175000</v>
      </c>
      <c r="N23" s="184">
        <f>M23</f>
        <v>175000</v>
      </c>
      <c r="O23" s="193"/>
      <c r="P23" s="194"/>
      <c r="Q23" s="195"/>
      <c r="R23"/>
      <c r="S23"/>
    </row>
    <row r="24" spans="1:19" ht="38" customHeight="1" thickBot="1" x14ac:dyDescent="0.25">
      <c r="A24" s="176" t="s">
        <v>33</v>
      </c>
      <c r="B24" s="177"/>
      <c r="C24" s="178"/>
      <c r="D24" s="178"/>
      <c r="E24" s="179">
        <f>E23+E22+E18+E11+E8+E7</f>
        <v>73242000</v>
      </c>
      <c r="F24" s="179">
        <f>F23+F22+F18+F11+F8+F7</f>
        <v>120540000</v>
      </c>
      <c r="G24" s="179">
        <f>G23+G22+G18+G11+G8+G7</f>
        <v>108686160</v>
      </c>
      <c r="H24" s="179"/>
      <c r="I24" s="179">
        <f t="shared" ref="I24" si="13">I23+I22+I18+I11+I8+I7</f>
        <v>34885000</v>
      </c>
      <c r="J24" s="179">
        <f t="shared" ref="J24:K24" si="14">J23+J22+J18+J11+J8+J7</f>
        <v>31580420</v>
      </c>
      <c r="K24" s="179">
        <f t="shared" si="14"/>
        <v>40930000</v>
      </c>
      <c r="L24" s="179">
        <f t="shared" ref="L24" si="15">L23+L22+L18+L11+L8+L7</f>
        <v>10607500</v>
      </c>
      <c r="M24" s="179">
        <f t="shared" ref="M24" si="16">M23+M22+M18+M11+M8+M7</f>
        <v>24277500</v>
      </c>
      <c r="N24" s="179">
        <f t="shared" ref="N24" si="17">N23+N22+N18+N11+N8+N7</f>
        <v>20972920</v>
      </c>
      <c r="O24" s="179">
        <f t="shared" ref="O24" si="18">O23+O22+O18+O11+O8+O7</f>
        <v>78800</v>
      </c>
      <c r="P24" s="179">
        <f t="shared" ref="P24:Q24" si="19">P23+P22+P18+P11+P8+P7</f>
        <v>50000</v>
      </c>
      <c r="Q24" s="179">
        <f t="shared" si="19"/>
        <v>12000</v>
      </c>
      <c r="R24"/>
      <c r="S24"/>
    </row>
    <row r="25" spans="1:19" x14ac:dyDescent="0.2">
      <c r="R25"/>
      <c r="S25"/>
    </row>
    <row r="26" spans="1:19" ht="17" thickBot="1" x14ac:dyDescent="0.25">
      <c r="R26"/>
      <c r="S26"/>
    </row>
    <row r="27" spans="1:19" ht="17" thickBot="1" x14ac:dyDescent="0.25">
      <c r="O27" s="257" t="s">
        <v>70</v>
      </c>
      <c r="P27" s="258"/>
      <c r="R27"/>
      <c r="S27"/>
    </row>
    <row r="28" spans="1:19" x14ac:dyDescent="0.2">
      <c r="G28" t="s">
        <v>129</v>
      </c>
      <c r="H28">
        <v>2200000</v>
      </c>
      <c r="K28" s="54" t="s">
        <v>71</v>
      </c>
      <c r="L28" s="52">
        <v>0</v>
      </c>
      <c r="O28" s="50" t="s">
        <v>132</v>
      </c>
      <c r="P28" s="51">
        <v>5000</v>
      </c>
      <c r="R28"/>
      <c r="S28"/>
    </row>
    <row r="29" spans="1:19" x14ac:dyDescent="0.2">
      <c r="G29" t="s">
        <v>130</v>
      </c>
      <c r="H29">
        <v>700000</v>
      </c>
      <c r="K29" s="55" t="s">
        <v>125</v>
      </c>
      <c r="L29" s="48">
        <v>5000000</v>
      </c>
      <c r="O29" s="49"/>
      <c r="P29" s="48"/>
      <c r="R29"/>
      <c r="S29"/>
    </row>
    <row r="30" spans="1:19" x14ac:dyDescent="0.2">
      <c r="K30" s="55" t="s">
        <v>126</v>
      </c>
      <c r="L30" s="48">
        <v>1000000</v>
      </c>
      <c r="O30" s="47" t="s">
        <v>72</v>
      </c>
      <c r="P30" s="48">
        <v>17000</v>
      </c>
      <c r="R30"/>
      <c r="S30"/>
    </row>
    <row r="31" spans="1:19" ht="17" thickBot="1" x14ac:dyDescent="0.25">
      <c r="G31" t="s">
        <v>131</v>
      </c>
      <c r="H31">
        <v>300000</v>
      </c>
      <c r="K31" s="55" t="s">
        <v>127</v>
      </c>
      <c r="L31" s="48">
        <v>1500000</v>
      </c>
      <c r="O31" s="58" t="s">
        <v>33</v>
      </c>
      <c r="P31" s="59">
        <f>SUM(P28:P30)</f>
        <v>22000</v>
      </c>
      <c r="R31"/>
      <c r="S31"/>
    </row>
    <row r="32" spans="1:19" x14ac:dyDescent="0.2">
      <c r="K32" s="55" t="s">
        <v>128</v>
      </c>
      <c r="L32" s="48">
        <v>0</v>
      </c>
      <c r="R32"/>
      <c r="S32"/>
    </row>
    <row r="33" spans="11:19" x14ac:dyDescent="0.2">
      <c r="K33" s="55" t="s">
        <v>73</v>
      </c>
      <c r="L33" s="48">
        <v>2100000</v>
      </c>
      <c r="R33"/>
      <c r="S33"/>
    </row>
    <row r="34" spans="11:19" ht="17" thickBot="1" x14ac:dyDescent="0.25">
      <c r="K34" s="57" t="s">
        <v>74</v>
      </c>
      <c r="L34" s="60">
        <f>SUM(L28:L33)</f>
        <v>9600000</v>
      </c>
      <c r="R34"/>
      <c r="S34"/>
    </row>
  </sheetData>
  <mergeCells count="5">
    <mergeCell ref="A2:A5"/>
    <mergeCell ref="A9:A10"/>
    <mergeCell ref="O27:P27"/>
    <mergeCell ref="A12:A15"/>
    <mergeCell ref="A19:A21"/>
  </mergeCells>
  <pageMargins left="0.25" right="0.25" top="0.75" bottom="0.75" header="0.3" footer="0.3"/>
  <pageSetup paperSize="9" scale="90" orientation="landscape" horizontalDpi="0" verticalDpi="0" copies="2"/>
  <ignoredErrors>
    <ignoredError sqref="G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1AC-ECA4-B043-ABC0-3984795182B4}">
  <dimension ref="A1:W43"/>
  <sheetViews>
    <sheetView rightToLeft="1" zoomScale="112" zoomScaleNormal="120" workbookViewId="0">
      <selection activeCell="B23" sqref="B23:N26"/>
    </sheetView>
  </sheetViews>
  <sheetFormatPr baseColWidth="10" defaultColWidth="30.140625" defaultRowHeight="16" x14ac:dyDescent="0.2"/>
  <cols>
    <col min="1" max="1" width="16.5703125" style="2" bestFit="1" customWidth="1"/>
    <col min="2" max="2" width="5.28515625" bestFit="1" customWidth="1"/>
    <col min="3" max="3" width="16.5703125" bestFit="1" customWidth="1"/>
    <col min="4" max="4" width="13.7109375" bestFit="1" customWidth="1"/>
    <col min="5" max="5" width="12.42578125" bestFit="1" customWidth="1"/>
    <col min="6" max="6" width="13.28515625" bestFit="1" customWidth="1"/>
    <col min="7" max="7" width="16.5703125" bestFit="1" customWidth="1"/>
    <col min="8" max="8" width="11.5703125" bestFit="1" customWidth="1"/>
    <col min="9" max="9" width="15.7109375" bestFit="1" customWidth="1"/>
    <col min="10" max="10" width="14.7109375" bestFit="1" customWidth="1"/>
    <col min="11" max="11" width="12.42578125" bestFit="1" customWidth="1"/>
    <col min="12" max="12" width="11.5703125" bestFit="1" customWidth="1"/>
    <col min="13" max="13" width="15.5703125" bestFit="1" customWidth="1"/>
    <col min="14" max="14" width="19.28515625" style="43" bestFit="1" customWidth="1"/>
    <col min="15" max="15" width="10.28515625" bestFit="1" customWidth="1"/>
    <col min="16" max="16" width="12.7109375" bestFit="1" customWidth="1"/>
    <col min="17" max="17" width="11.5703125" style="2" bestFit="1" customWidth="1"/>
    <col min="18" max="18" width="14.42578125" style="2" customWidth="1"/>
    <col min="19" max="19" width="15.5703125" bestFit="1" customWidth="1"/>
    <col min="20" max="20" width="10.140625" bestFit="1" customWidth="1"/>
    <col min="21" max="21" width="18.5703125" bestFit="1" customWidth="1"/>
    <col min="22" max="22" width="10.42578125" bestFit="1" customWidth="1"/>
    <col min="23" max="23" width="8.42578125" bestFit="1" customWidth="1"/>
    <col min="24" max="24" width="12.42578125" customWidth="1"/>
    <col min="25" max="25" width="12.28515625" customWidth="1"/>
    <col min="26" max="26" width="12.140625" customWidth="1"/>
    <col min="27" max="27" width="12.5703125" customWidth="1"/>
    <col min="33" max="33" width="10.28515625" bestFit="1" customWidth="1"/>
    <col min="34" max="34" width="8.28515625" bestFit="1" customWidth="1"/>
  </cols>
  <sheetData>
    <row r="1" spans="1:23" s="2" customFormat="1" ht="39" thickBot="1" x14ac:dyDescent="0.25">
      <c r="A1" s="196"/>
      <c r="B1" s="197" t="s">
        <v>0</v>
      </c>
      <c r="C1" s="198" t="s">
        <v>1</v>
      </c>
      <c r="D1" s="198" t="s">
        <v>2</v>
      </c>
      <c r="E1" s="199" t="s">
        <v>3</v>
      </c>
      <c r="F1" s="199" t="s">
        <v>4</v>
      </c>
      <c r="G1" s="200" t="s">
        <v>5</v>
      </c>
      <c r="H1" s="201" t="s">
        <v>6</v>
      </c>
      <c r="I1" s="200" t="s">
        <v>7</v>
      </c>
      <c r="J1" s="200" t="s">
        <v>8</v>
      </c>
      <c r="K1" s="199" t="s">
        <v>9</v>
      </c>
      <c r="L1" s="200" t="s">
        <v>10</v>
      </c>
      <c r="M1" s="200" t="s">
        <v>11</v>
      </c>
      <c r="N1" s="199" t="s">
        <v>12</v>
      </c>
      <c r="O1"/>
      <c r="P1"/>
      <c r="V1" s="3" t="s">
        <v>37</v>
      </c>
      <c r="W1" s="3" t="s">
        <v>38</v>
      </c>
    </row>
    <row r="2" spans="1:23" ht="19" hidden="1" thickBot="1" x14ac:dyDescent="0.25">
      <c r="A2" s="260" t="s">
        <v>13</v>
      </c>
      <c r="B2" s="202">
        <v>1</v>
      </c>
      <c r="C2" s="203" t="s">
        <v>14</v>
      </c>
      <c r="D2" s="203">
        <v>1996</v>
      </c>
      <c r="E2" s="204">
        <v>0</v>
      </c>
      <c r="F2" s="204">
        <v>750000</v>
      </c>
      <c r="G2" s="205">
        <f t="shared" ref="G2" si="0">(F2-E2)*$V$2+E2</f>
        <v>577500</v>
      </c>
      <c r="H2" s="206">
        <v>1</v>
      </c>
      <c r="I2" s="205">
        <f>F2*H2</f>
        <v>750000</v>
      </c>
      <c r="J2" s="205">
        <f>G2*H2</f>
        <v>577500</v>
      </c>
      <c r="K2" s="204">
        <v>0</v>
      </c>
      <c r="L2" s="205">
        <f>K2*H2</f>
        <v>0</v>
      </c>
      <c r="M2" s="205">
        <f>I2-L2</f>
        <v>750000</v>
      </c>
      <c r="N2" s="207">
        <f>J2-L2</f>
        <v>577500</v>
      </c>
      <c r="Q2"/>
      <c r="R2"/>
      <c r="V2" s="1">
        <v>0.77</v>
      </c>
      <c r="W2">
        <v>12</v>
      </c>
    </row>
    <row r="3" spans="1:23" ht="19" hidden="1" thickBot="1" x14ac:dyDescent="0.25">
      <c r="A3" s="262"/>
      <c r="B3" s="208">
        <v>2</v>
      </c>
      <c r="C3" s="209" t="s">
        <v>15</v>
      </c>
      <c r="D3" s="209">
        <v>2006</v>
      </c>
      <c r="E3" s="210">
        <v>420000</v>
      </c>
      <c r="F3" s="210">
        <v>1800000</v>
      </c>
      <c r="G3" s="211">
        <f t="shared" ref="G3:G9" si="1">(F3-E3)*$V$2+E3</f>
        <v>1482600</v>
      </c>
      <c r="H3" s="212">
        <v>1</v>
      </c>
      <c r="I3" s="211">
        <f t="shared" ref="I3:I21" si="2">F3*H3</f>
        <v>1800000</v>
      </c>
      <c r="J3" s="211">
        <f t="shared" ref="J3:J21" si="3">G3*H3</f>
        <v>1482600</v>
      </c>
      <c r="K3" s="210">
        <v>0</v>
      </c>
      <c r="L3" s="211">
        <f t="shared" ref="L3:L21" si="4">K3*H3</f>
        <v>0</v>
      </c>
      <c r="M3" s="211">
        <f t="shared" ref="M3:M21" si="5">I3-L3</f>
        <v>1800000</v>
      </c>
      <c r="N3" s="213">
        <f t="shared" ref="N3:N21" si="6">J3-L3</f>
        <v>1482600</v>
      </c>
      <c r="Q3"/>
      <c r="R3"/>
    </row>
    <row r="4" spans="1:23" ht="19" hidden="1" thickBot="1" x14ac:dyDescent="0.25">
      <c r="A4" s="262"/>
      <c r="B4" s="208">
        <v>3</v>
      </c>
      <c r="C4" s="209" t="s">
        <v>16</v>
      </c>
      <c r="D4" s="209">
        <v>2005</v>
      </c>
      <c r="E4" s="210">
        <v>130000</v>
      </c>
      <c r="F4" s="210">
        <v>900000</v>
      </c>
      <c r="G4" s="211">
        <f t="shared" si="1"/>
        <v>722900</v>
      </c>
      <c r="H4" s="212">
        <v>1</v>
      </c>
      <c r="I4" s="211">
        <f t="shared" si="2"/>
        <v>900000</v>
      </c>
      <c r="J4" s="211">
        <f t="shared" si="3"/>
        <v>722900</v>
      </c>
      <c r="K4" s="210">
        <v>0</v>
      </c>
      <c r="L4" s="211">
        <f t="shared" si="4"/>
        <v>0</v>
      </c>
      <c r="M4" s="211">
        <f t="shared" si="5"/>
        <v>900000</v>
      </c>
      <c r="N4" s="213">
        <f t="shared" si="6"/>
        <v>722900</v>
      </c>
      <c r="Q4"/>
      <c r="R4"/>
    </row>
    <row r="5" spans="1:23" ht="19" hidden="1" thickBot="1" x14ac:dyDescent="0.25">
      <c r="A5" s="262"/>
      <c r="B5" s="208">
        <v>4</v>
      </c>
      <c r="C5" s="209" t="s">
        <v>17</v>
      </c>
      <c r="D5" s="209">
        <v>2016</v>
      </c>
      <c r="E5" s="210">
        <v>2500000</v>
      </c>
      <c r="F5" s="210">
        <v>5700000</v>
      </c>
      <c r="G5" s="211">
        <f t="shared" si="1"/>
        <v>4964000</v>
      </c>
      <c r="H5" s="212">
        <v>0.33</v>
      </c>
      <c r="I5" s="211">
        <f t="shared" si="2"/>
        <v>1881000</v>
      </c>
      <c r="J5" s="211">
        <f t="shared" si="3"/>
        <v>1638120</v>
      </c>
      <c r="K5" s="210">
        <v>0</v>
      </c>
      <c r="L5" s="211">
        <f t="shared" si="4"/>
        <v>0</v>
      </c>
      <c r="M5" s="211">
        <f t="shared" si="5"/>
        <v>1881000</v>
      </c>
      <c r="N5" s="213">
        <f t="shared" si="6"/>
        <v>1638120</v>
      </c>
      <c r="Q5"/>
      <c r="R5"/>
    </row>
    <row r="6" spans="1:23" ht="19" hidden="1" thickBot="1" x14ac:dyDescent="0.25">
      <c r="A6" s="262"/>
      <c r="B6" s="208">
        <v>5</v>
      </c>
      <c r="C6" s="209" t="s">
        <v>18</v>
      </c>
      <c r="D6" s="209">
        <v>2019</v>
      </c>
      <c r="E6" s="210">
        <v>5400000</v>
      </c>
      <c r="F6" s="210">
        <v>7500000</v>
      </c>
      <c r="G6" s="211">
        <f t="shared" si="1"/>
        <v>7017000</v>
      </c>
      <c r="H6" s="212">
        <v>0.5</v>
      </c>
      <c r="I6" s="211">
        <f t="shared" si="2"/>
        <v>3750000</v>
      </c>
      <c r="J6" s="211">
        <f t="shared" si="3"/>
        <v>3508500</v>
      </c>
      <c r="K6" s="210">
        <v>3100000</v>
      </c>
      <c r="L6" s="211">
        <f t="shared" si="4"/>
        <v>1550000</v>
      </c>
      <c r="M6" s="211">
        <f t="shared" si="5"/>
        <v>2200000</v>
      </c>
      <c r="N6" s="213">
        <f t="shared" si="6"/>
        <v>1958500</v>
      </c>
      <c r="Q6"/>
      <c r="R6"/>
    </row>
    <row r="7" spans="1:23" ht="19" hidden="1" thickBot="1" x14ac:dyDescent="0.25">
      <c r="A7" s="261"/>
      <c r="B7" s="214">
        <v>6</v>
      </c>
      <c r="C7" s="215" t="s">
        <v>19</v>
      </c>
      <c r="D7" s="215">
        <v>2021</v>
      </c>
      <c r="E7" s="216">
        <v>25000000</v>
      </c>
      <c r="F7" s="216">
        <v>45000000</v>
      </c>
      <c r="G7" s="217">
        <f t="shared" si="1"/>
        <v>40400000</v>
      </c>
      <c r="H7" s="218">
        <v>0.16700000000000001</v>
      </c>
      <c r="I7" s="217">
        <f t="shared" si="2"/>
        <v>7515000</v>
      </c>
      <c r="J7" s="217">
        <f t="shared" si="3"/>
        <v>6746800</v>
      </c>
      <c r="K7" s="216">
        <v>15000000</v>
      </c>
      <c r="L7" s="217">
        <f t="shared" si="4"/>
        <v>2505000</v>
      </c>
      <c r="M7" s="217">
        <f t="shared" si="5"/>
        <v>5010000</v>
      </c>
      <c r="N7" s="219">
        <f t="shared" si="6"/>
        <v>4241800</v>
      </c>
      <c r="Q7"/>
      <c r="R7"/>
    </row>
    <row r="8" spans="1:23" ht="19" hidden="1" thickBot="1" x14ac:dyDescent="0.25">
      <c r="A8" s="260" t="s">
        <v>20</v>
      </c>
      <c r="B8" s="202">
        <v>1</v>
      </c>
      <c r="C8" s="203" t="s">
        <v>21</v>
      </c>
      <c r="D8" s="203">
        <v>2016</v>
      </c>
      <c r="E8" s="204">
        <v>7000000</v>
      </c>
      <c r="F8" s="204">
        <v>25000000</v>
      </c>
      <c r="G8" s="205">
        <f t="shared" si="1"/>
        <v>20860000</v>
      </c>
      <c r="H8" s="206">
        <v>0.25</v>
      </c>
      <c r="I8" s="205">
        <f t="shared" si="2"/>
        <v>6250000</v>
      </c>
      <c r="J8" s="205">
        <f t="shared" si="3"/>
        <v>5215000</v>
      </c>
      <c r="K8" s="204">
        <v>10750000</v>
      </c>
      <c r="L8" s="205">
        <f t="shared" si="4"/>
        <v>2687500</v>
      </c>
      <c r="M8" s="205">
        <f t="shared" si="5"/>
        <v>3562500</v>
      </c>
      <c r="N8" s="207">
        <f t="shared" si="6"/>
        <v>2527500</v>
      </c>
      <c r="Q8"/>
      <c r="R8"/>
    </row>
    <row r="9" spans="1:23" ht="19" hidden="1" thickBot="1" x14ac:dyDescent="0.25">
      <c r="A9" s="261"/>
      <c r="B9" s="214">
        <v>2</v>
      </c>
      <c r="C9" s="215" t="s">
        <v>22</v>
      </c>
      <c r="D9" s="215">
        <v>2019</v>
      </c>
      <c r="E9" s="216">
        <v>18000000</v>
      </c>
      <c r="F9" s="216">
        <v>32000000</v>
      </c>
      <c r="G9" s="217">
        <f t="shared" si="1"/>
        <v>28780000</v>
      </c>
      <c r="H9" s="218">
        <v>0.25</v>
      </c>
      <c r="I9" s="217">
        <f t="shared" si="2"/>
        <v>8000000</v>
      </c>
      <c r="J9" s="217">
        <f t="shared" si="3"/>
        <v>7195000</v>
      </c>
      <c r="K9" s="216">
        <v>10750000</v>
      </c>
      <c r="L9" s="217">
        <f t="shared" si="4"/>
        <v>2687500</v>
      </c>
      <c r="M9" s="217">
        <f t="shared" si="5"/>
        <v>5312500</v>
      </c>
      <c r="N9" s="219">
        <f t="shared" si="6"/>
        <v>4507500</v>
      </c>
      <c r="Q9"/>
      <c r="R9"/>
    </row>
    <row r="10" spans="1:23" ht="18" x14ac:dyDescent="0.2">
      <c r="A10" s="267" t="s">
        <v>23</v>
      </c>
      <c r="B10" s="202">
        <v>1</v>
      </c>
      <c r="C10" s="203" t="s">
        <v>24</v>
      </c>
      <c r="D10" s="203">
        <v>2009</v>
      </c>
      <c r="E10" s="204">
        <v>880000</v>
      </c>
      <c r="F10" s="204">
        <v>3500000</v>
      </c>
      <c r="G10" s="205">
        <f t="shared" ref="G10:G16" si="7">(F10-E10)*$V$2+E10</f>
        <v>2897400</v>
      </c>
      <c r="H10" s="206">
        <v>0.52</v>
      </c>
      <c r="I10" s="205">
        <f t="shared" si="2"/>
        <v>1820000</v>
      </c>
      <c r="J10" s="205">
        <f t="shared" si="3"/>
        <v>1506648</v>
      </c>
      <c r="K10" s="204">
        <v>0</v>
      </c>
      <c r="L10" s="205">
        <f t="shared" si="4"/>
        <v>0</v>
      </c>
      <c r="M10" s="205">
        <f t="shared" si="5"/>
        <v>1820000</v>
      </c>
      <c r="N10" s="207">
        <f t="shared" si="6"/>
        <v>1506648</v>
      </c>
      <c r="Q10"/>
      <c r="R10"/>
    </row>
    <row r="11" spans="1:23" ht="18" x14ac:dyDescent="0.2">
      <c r="A11" s="268"/>
      <c r="B11" s="220">
        <v>2</v>
      </c>
      <c r="C11" s="221" t="s">
        <v>115</v>
      </c>
      <c r="D11" s="221">
        <v>2023</v>
      </c>
      <c r="E11" s="222">
        <v>4000000</v>
      </c>
      <c r="F11" s="222">
        <v>4000000</v>
      </c>
      <c r="G11" s="223">
        <f t="shared" si="7"/>
        <v>4000000</v>
      </c>
      <c r="H11" s="224">
        <v>0.5</v>
      </c>
      <c r="I11" s="223">
        <f t="shared" si="2"/>
        <v>2000000</v>
      </c>
      <c r="J11" s="223">
        <f t="shared" si="3"/>
        <v>2000000</v>
      </c>
      <c r="K11" s="222">
        <v>3100000</v>
      </c>
      <c r="L11" s="223">
        <f t="shared" si="4"/>
        <v>1550000</v>
      </c>
      <c r="M11" s="223">
        <f t="shared" si="5"/>
        <v>450000</v>
      </c>
      <c r="N11" s="225">
        <f t="shared" si="6"/>
        <v>450000</v>
      </c>
      <c r="Q11"/>
      <c r="R11"/>
    </row>
    <row r="12" spans="1:23" ht="18" x14ac:dyDescent="0.2">
      <c r="A12" s="268"/>
      <c r="B12" s="208">
        <v>3</v>
      </c>
      <c r="C12" s="209" t="s">
        <v>25</v>
      </c>
      <c r="D12" s="209">
        <v>2016</v>
      </c>
      <c r="E12" s="210">
        <v>1100000</v>
      </c>
      <c r="F12" s="210">
        <v>2750000</v>
      </c>
      <c r="G12" s="211">
        <f t="shared" si="7"/>
        <v>2370500</v>
      </c>
      <c r="H12" s="212">
        <v>0.5</v>
      </c>
      <c r="I12" s="211">
        <f t="shared" si="2"/>
        <v>1375000</v>
      </c>
      <c r="J12" s="211">
        <f t="shared" si="3"/>
        <v>1185250</v>
      </c>
      <c r="K12" s="210">
        <v>0</v>
      </c>
      <c r="L12" s="211">
        <f t="shared" si="4"/>
        <v>0</v>
      </c>
      <c r="M12" s="211">
        <f>I12-L12</f>
        <v>1375000</v>
      </c>
      <c r="N12" s="213">
        <f t="shared" si="6"/>
        <v>1185250</v>
      </c>
      <c r="Q12"/>
      <c r="R12"/>
    </row>
    <row r="13" spans="1:23" ht="18" x14ac:dyDescent="0.2">
      <c r="A13" s="268"/>
      <c r="B13" s="208">
        <v>4</v>
      </c>
      <c r="C13" s="209" t="s">
        <v>26</v>
      </c>
      <c r="D13" s="209">
        <v>2016</v>
      </c>
      <c r="E13" s="210">
        <v>800000</v>
      </c>
      <c r="F13" s="210">
        <v>1000000</v>
      </c>
      <c r="G13" s="211">
        <f t="shared" si="7"/>
        <v>954000</v>
      </c>
      <c r="H13" s="212">
        <v>0.5</v>
      </c>
      <c r="I13" s="211">
        <f t="shared" si="2"/>
        <v>500000</v>
      </c>
      <c r="J13" s="211">
        <f t="shared" si="3"/>
        <v>477000</v>
      </c>
      <c r="K13" s="210">
        <v>0</v>
      </c>
      <c r="L13" s="211">
        <f t="shared" si="4"/>
        <v>0</v>
      </c>
      <c r="M13" s="211">
        <f t="shared" si="5"/>
        <v>500000</v>
      </c>
      <c r="N13" s="213">
        <f t="shared" si="6"/>
        <v>477000</v>
      </c>
      <c r="Q13"/>
      <c r="R13"/>
    </row>
    <row r="14" spans="1:23" ht="18" x14ac:dyDescent="0.2">
      <c r="A14" s="268"/>
      <c r="B14" s="208">
        <v>5</v>
      </c>
      <c r="C14" s="209" t="s">
        <v>27</v>
      </c>
      <c r="D14" s="209">
        <v>2012</v>
      </c>
      <c r="E14" s="210">
        <v>4240000</v>
      </c>
      <c r="F14" s="210">
        <v>8000000</v>
      </c>
      <c r="G14" s="211">
        <f t="shared" si="7"/>
        <v>7135200</v>
      </c>
      <c r="H14" s="212">
        <v>0.5</v>
      </c>
      <c r="I14" s="211">
        <f t="shared" si="2"/>
        <v>4000000</v>
      </c>
      <c r="J14" s="211">
        <f t="shared" si="3"/>
        <v>3567600</v>
      </c>
      <c r="K14" s="210">
        <v>2600000</v>
      </c>
      <c r="L14" s="211">
        <v>0</v>
      </c>
      <c r="M14" s="211">
        <f t="shared" si="5"/>
        <v>4000000</v>
      </c>
      <c r="N14" s="213">
        <f>J14-L14</f>
        <v>3567600</v>
      </c>
      <c r="Q14"/>
      <c r="R14"/>
    </row>
    <row r="15" spans="1:23" ht="18" x14ac:dyDescent="0.2">
      <c r="A15" s="268"/>
      <c r="B15" s="214">
        <v>6</v>
      </c>
      <c r="C15" s="215" t="s">
        <v>116</v>
      </c>
      <c r="D15" s="215">
        <v>2023</v>
      </c>
      <c r="E15" s="216">
        <v>7500000</v>
      </c>
      <c r="F15" s="216">
        <v>7500000</v>
      </c>
      <c r="G15" s="217">
        <f t="shared" si="7"/>
        <v>7500000</v>
      </c>
      <c r="H15" s="218">
        <v>0.5</v>
      </c>
      <c r="I15" s="217">
        <f t="shared" si="2"/>
        <v>3750000</v>
      </c>
      <c r="J15" s="217">
        <f t="shared" si="3"/>
        <v>3750000</v>
      </c>
      <c r="K15" s="216">
        <v>3100000</v>
      </c>
      <c r="L15" s="217">
        <f>K15*H15</f>
        <v>1550000</v>
      </c>
      <c r="M15" s="217">
        <f>I15-L15</f>
        <v>2200000</v>
      </c>
      <c r="N15" s="219">
        <f>J15-L15</f>
        <v>2200000</v>
      </c>
      <c r="Q15"/>
      <c r="R15"/>
    </row>
    <row r="16" spans="1:23" ht="19" thickBot="1" x14ac:dyDescent="0.25">
      <c r="A16" s="268"/>
      <c r="B16" s="214">
        <v>7</v>
      </c>
      <c r="C16" s="215" t="s">
        <v>28</v>
      </c>
      <c r="D16" s="215">
        <v>2021</v>
      </c>
      <c r="E16" s="216">
        <v>5100000</v>
      </c>
      <c r="F16" s="216">
        <v>10000000</v>
      </c>
      <c r="G16" s="217">
        <f t="shared" si="7"/>
        <v>8873000</v>
      </c>
      <c r="H16" s="218">
        <v>0.4</v>
      </c>
      <c r="I16" s="217">
        <f t="shared" si="2"/>
        <v>4000000</v>
      </c>
      <c r="J16" s="217">
        <f t="shared" si="3"/>
        <v>3549200</v>
      </c>
      <c r="K16" s="216">
        <v>2100000</v>
      </c>
      <c r="L16" s="217">
        <v>0</v>
      </c>
      <c r="M16" s="217">
        <f t="shared" si="5"/>
        <v>4000000</v>
      </c>
      <c r="N16" s="219">
        <f t="shared" si="6"/>
        <v>3549200</v>
      </c>
      <c r="Q16"/>
      <c r="R16"/>
    </row>
    <row r="17" spans="1:20" ht="20" thickBot="1" x14ac:dyDescent="0.25">
      <c r="A17" s="174" t="s">
        <v>33</v>
      </c>
      <c r="B17" s="226"/>
      <c r="C17" s="227"/>
      <c r="D17" s="227"/>
      <c r="E17" s="228">
        <f>SUM(E10:E16)</f>
        <v>23620000</v>
      </c>
      <c r="F17" s="228">
        <f>SUM(F10:F16)</f>
        <v>36750000</v>
      </c>
      <c r="G17" s="228">
        <f t="shared" ref="G17:M17" si="8">SUM(G10:G16)</f>
        <v>33730100</v>
      </c>
      <c r="H17" s="228"/>
      <c r="I17" s="228">
        <f t="shared" si="8"/>
        <v>17445000</v>
      </c>
      <c r="J17" s="228">
        <f t="shared" si="8"/>
        <v>16035698</v>
      </c>
      <c r="K17" s="228">
        <f t="shared" si="8"/>
        <v>10900000</v>
      </c>
      <c r="L17" s="228">
        <f t="shared" si="8"/>
        <v>3100000</v>
      </c>
      <c r="M17" s="228">
        <f t="shared" si="8"/>
        <v>14345000</v>
      </c>
      <c r="N17" s="229">
        <f>SUM(N10:N16)</f>
        <v>12935698</v>
      </c>
      <c r="Q17"/>
      <c r="R17"/>
    </row>
    <row r="18" spans="1:20" ht="16" customHeight="1" x14ac:dyDescent="0.2">
      <c r="A18" s="269" t="s">
        <v>81</v>
      </c>
      <c r="B18" s="220">
        <v>1</v>
      </c>
      <c r="C18" s="221" t="s">
        <v>31</v>
      </c>
      <c r="D18" s="221">
        <v>2021</v>
      </c>
      <c r="E18" s="222">
        <v>2150000</v>
      </c>
      <c r="F18" s="222">
        <v>2700000</v>
      </c>
      <c r="G18" s="223">
        <v>2700000</v>
      </c>
      <c r="H18" s="224">
        <v>1</v>
      </c>
      <c r="I18" s="223">
        <f t="shared" si="2"/>
        <v>2700000</v>
      </c>
      <c r="J18" s="223">
        <f t="shared" si="3"/>
        <v>2700000</v>
      </c>
      <c r="K18" s="222">
        <v>0</v>
      </c>
      <c r="L18" s="223">
        <f t="shared" si="4"/>
        <v>0</v>
      </c>
      <c r="M18" s="223">
        <f t="shared" si="5"/>
        <v>2700000</v>
      </c>
      <c r="N18" s="225">
        <f t="shared" si="6"/>
        <v>2700000</v>
      </c>
      <c r="Q18"/>
      <c r="R18"/>
    </row>
    <row r="19" spans="1:20" ht="16" customHeight="1" x14ac:dyDescent="0.2">
      <c r="A19" s="269"/>
      <c r="B19" s="230">
        <v>2</v>
      </c>
      <c r="C19" s="270" t="s">
        <v>79</v>
      </c>
      <c r="D19" s="231" t="s">
        <v>103</v>
      </c>
      <c r="E19" s="232">
        <v>5000000</v>
      </c>
      <c r="F19" s="232">
        <v>5000000</v>
      </c>
      <c r="G19" s="232">
        <v>5000000</v>
      </c>
      <c r="H19" s="224">
        <v>1</v>
      </c>
      <c r="I19" s="223">
        <f t="shared" si="2"/>
        <v>5000000</v>
      </c>
      <c r="J19" s="223">
        <f t="shared" si="3"/>
        <v>5000000</v>
      </c>
      <c r="K19" s="232">
        <v>0</v>
      </c>
      <c r="L19" s="223">
        <f t="shared" si="4"/>
        <v>0</v>
      </c>
      <c r="M19" s="223">
        <f t="shared" si="5"/>
        <v>5000000</v>
      </c>
      <c r="N19" s="225">
        <f t="shared" si="6"/>
        <v>5000000</v>
      </c>
      <c r="Q19"/>
      <c r="R19"/>
    </row>
    <row r="20" spans="1:20" ht="16" customHeight="1" x14ac:dyDescent="0.2">
      <c r="A20" s="269"/>
      <c r="B20" s="230">
        <v>3</v>
      </c>
      <c r="C20" s="271"/>
      <c r="D20" s="231" t="s">
        <v>106</v>
      </c>
      <c r="E20" s="232">
        <v>1500000</v>
      </c>
      <c r="F20" s="232">
        <v>1500000</v>
      </c>
      <c r="G20" s="232">
        <v>1500000</v>
      </c>
      <c r="H20" s="224">
        <v>1</v>
      </c>
      <c r="I20" s="223">
        <f t="shared" si="2"/>
        <v>1500000</v>
      </c>
      <c r="J20" s="223">
        <f t="shared" si="3"/>
        <v>1500000</v>
      </c>
      <c r="K20" s="232">
        <v>0</v>
      </c>
      <c r="L20" s="223">
        <f t="shared" si="4"/>
        <v>0</v>
      </c>
      <c r="M20" s="223">
        <f t="shared" si="5"/>
        <v>1500000</v>
      </c>
      <c r="N20" s="225">
        <f t="shared" si="6"/>
        <v>1500000</v>
      </c>
      <c r="Q20"/>
      <c r="R20"/>
    </row>
    <row r="21" spans="1:20" ht="16" customHeight="1" thickBot="1" x14ac:dyDescent="0.25">
      <c r="A21" s="269"/>
      <c r="B21" s="230">
        <v>4</v>
      </c>
      <c r="C21" s="271"/>
      <c r="D21" s="231" t="s">
        <v>104</v>
      </c>
      <c r="E21" s="232">
        <v>2000000</v>
      </c>
      <c r="F21" s="232">
        <v>2000000</v>
      </c>
      <c r="G21" s="232">
        <v>2000000</v>
      </c>
      <c r="H21" s="224">
        <v>1</v>
      </c>
      <c r="I21" s="223">
        <f t="shared" si="2"/>
        <v>2000000</v>
      </c>
      <c r="J21" s="223">
        <f t="shared" si="3"/>
        <v>2000000</v>
      </c>
      <c r="K21" s="232">
        <v>0</v>
      </c>
      <c r="L21" s="223">
        <f t="shared" si="4"/>
        <v>0</v>
      </c>
      <c r="M21" s="223">
        <f t="shared" si="5"/>
        <v>2000000</v>
      </c>
      <c r="N21" s="225">
        <f t="shared" si="6"/>
        <v>2000000</v>
      </c>
      <c r="Q21"/>
      <c r="R21"/>
    </row>
    <row r="22" spans="1:20" ht="34" customHeight="1" thickBot="1" x14ac:dyDescent="0.25">
      <c r="A22" s="174" t="s">
        <v>33</v>
      </c>
      <c r="B22" s="245"/>
      <c r="C22" s="247" t="s">
        <v>75</v>
      </c>
      <c r="D22" s="246"/>
      <c r="E22" s="228">
        <f>SUM(E18:E21)</f>
        <v>10650000</v>
      </c>
      <c r="F22" s="228">
        <f>SUM(F18:F21)</f>
        <v>11200000</v>
      </c>
      <c r="G22" s="228">
        <f>SUM(G18:G21)</f>
        <v>11200000</v>
      </c>
      <c r="H22" s="228" t="s">
        <v>102</v>
      </c>
      <c r="I22" s="228">
        <f t="shared" ref="I22:N22" si="9">SUM(I18:I21)</f>
        <v>11200000</v>
      </c>
      <c r="J22" s="228">
        <f t="shared" si="9"/>
        <v>11200000</v>
      </c>
      <c r="K22" s="228">
        <f t="shared" si="9"/>
        <v>0</v>
      </c>
      <c r="L22" s="228">
        <f t="shared" si="9"/>
        <v>0</v>
      </c>
      <c r="M22" s="228">
        <f t="shared" si="9"/>
        <v>11200000</v>
      </c>
      <c r="N22" s="228">
        <f t="shared" si="9"/>
        <v>11200000</v>
      </c>
      <c r="Q22"/>
      <c r="R22"/>
    </row>
    <row r="23" spans="1:20" ht="16" customHeight="1" x14ac:dyDescent="0.2">
      <c r="A23" s="260" t="s">
        <v>34</v>
      </c>
      <c r="B23" s="220">
        <v>1</v>
      </c>
      <c r="C23" s="221" t="s">
        <v>35</v>
      </c>
      <c r="D23" s="221"/>
      <c r="E23" s="222">
        <v>2000000</v>
      </c>
      <c r="F23" s="222">
        <v>2000000</v>
      </c>
      <c r="G23" s="223">
        <f>(F23-E23)*$V$2+E23</f>
        <v>2000000</v>
      </c>
      <c r="H23" s="224">
        <v>1</v>
      </c>
      <c r="I23" s="223">
        <f t="shared" ref="I23" si="10">F23*H23</f>
        <v>2000000</v>
      </c>
      <c r="J23" s="223">
        <f t="shared" ref="J23" si="11">G23*H23</f>
        <v>2000000</v>
      </c>
      <c r="K23" s="222">
        <v>0</v>
      </c>
      <c r="L23" s="223">
        <f t="shared" ref="L23" si="12">K23*H23</f>
        <v>0</v>
      </c>
      <c r="M23" s="223">
        <f t="shared" ref="M23" si="13">I23-L23</f>
        <v>2000000</v>
      </c>
      <c r="N23" s="225">
        <f t="shared" ref="N23" si="14">J23-L23</f>
        <v>2000000</v>
      </c>
      <c r="Q23"/>
      <c r="R23"/>
    </row>
    <row r="24" spans="1:20" ht="16" customHeight="1" thickBot="1" x14ac:dyDescent="0.25">
      <c r="A24" s="262"/>
      <c r="B24" s="233">
        <v>2</v>
      </c>
      <c r="C24" s="234" t="s">
        <v>36</v>
      </c>
      <c r="D24" s="234"/>
      <c r="E24" s="235">
        <v>2000000</v>
      </c>
      <c r="F24" s="235">
        <v>2000000</v>
      </c>
      <c r="G24" s="236">
        <f>(F24-E24)*$V$2+E24</f>
        <v>2000000</v>
      </c>
      <c r="H24" s="237">
        <v>1</v>
      </c>
      <c r="I24" s="236">
        <f>F24*H24</f>
        <v>2000000</v>
      </c>
      <c r="J24" s="236">
        <f>G24*H24</f>
        <v>2000000</v>
      </c>
      <c r="K24" s="235">
        <v>0</v>
      </c>
      <c r="L24" s="236">
        <f>K24*H24</f>
        <v>0</v>
      </c>
      <c r="M24" s="236">
        <f>I24-L24</f>
        <v>2000000</v>
      </c>
      <c r="N24" s="238">
        <f>J24-L24</f>
        <v>2000000</v>
      </c>
      <c r="Q24"/>
      <c r="R24"/>
    </row>
    <row r="25" spans="1:20" ht="16" customHeight="1" thickBot="1" x14ac:dyDescent="0.25">
      <c r="A25" s="262"/>
      <c r="B25" s="233">
        <v>3</v>
      </c>
      <c r="C25" s="234" t="s">
        <v>105</v>
      </c>
      <c r="D25" s="234"/>
      <c r="E25" s="235">
        <v>2200000</v>
      </c>
      <c r="F25" s="235">
        <v>2200000</v>
      </c>
      <c r="G25" s="236">
        <v>2200000</v>
      </c>
      <c r="H25" s="237">
        <v>1</v>
      </c>
      <c r="I25" s="236">
        <f t="shared" ref="I25" si="15">F25*H25</f>
        <v>2200000</v>
      </c>
      <c r="J25" s="236">
        <f t="shared" ref="J25" si="16">G25*H25</f>
        <v>2200000</v>
      </c>
      <c r="K25" s="235">
        <v>0</v>
      </c>
      <c r="L25" s="236">
        <f t="shared" ref="L25" si="17">K25*H25</f>
        <v>0</v>
      </c>
      <c r="M25" s="236">
        <f t="shared" ref="M25" si="18">I25-L25</f>
        <v>2200000</v>
      </c>
      <c r="N25" s="238">
        <f t="shared" ref="N25" si="19">J25-L25</f>
        <v>2200000</v>
      </c>
      <c r="Q25"/>
      <c r="R25"/>
    </row>
    <row r="26" spans="1:20" ht="31" customHeight="1" thickBot="1" x14ac:dyDescent="0.25">
      <c r="A26" s="262"/>
      <c r="B26" s="233">
        <v>4</v>
      </c>
      <c r="C26" s="234" t="s">
        <v>30</v>
      </c>
      <c r="D26" s="234"/>
      <c r="E26" s="235">
        <v>500000</v>
      </c>
      <c r="F26" s="235">
        <v>2000000</v>
      </c>
      <c r="G26" s="236">
        <v>1800000</v>
      </c>
      <c r="H26" s="237">
        <v>1</v>
      </c>
      <c r="I26" s="236">
        <f>F26*H26</f>
        <v>2000000</v>
      </c>
      <c r="J26" s="236">
        <f t="shared" ref="J26" si="20">G26*H26</f>
        <v>1800000</v>
      </c>
      <c r="K26" s="235">
        <v>0</v>
      </c>
      <c r="L26" s="236">
        <f t="shared" ref="L26" si="21">K26*H26</f>
        <v>0</v>
      </c>
      <c r="M26" s="236">
        <f t="shared" ref="M26" si="22">I26-L26</f>
        <v>2000000</v>
      </c>
      <c r="N26" s="238">
        <f t="shared" ref="N26" si="23">J26-L26</f>
        <v>1800000</v>
      </c>
      <c r="Q26"/>
      <c r="R26"/>
    </row>
    <row r="27" spans="1:20" ht="20" thickBot="1" x14ac:dyDescent="0.25">
      <c r="A27" s="239" t="s">
        <v>33</v>
      </c>
      <c r="B27" s="240"/>
      <c r="C27" s="240"/>
      <c r="D27" s="240"/>
      <c r="E27" s="241">
        <f>SUM(E23:E26)</f>
        <v>6700000</v>
      </c>
      <c r="F27" s="241">
        <f>SUM(F23:F26)</f>
        <v>8200000</v>
      </c>
      <c r="G27" s="241">
        <f>SUM(G23:G26)</f>
        <v>8000000</v>
      </c>
      <c r="H27" s="241"/>
      <c r="I27" s="241">
        <f>SUM(I23:I26)</f>
        <v>8200000</v>
      </c>
      <c r="J27" s="241">
        <f>SUM(J23:J26)</f>
        <v>8000000</v>
      </c>
      <c r="K27" s="241">
        <f>SUM(K23:K24)</f>
        <v>0</v>
      </c>
      <c r="L27" s="241">
        <f>SUM(L23:L24)</f>
        <v>0</v>
      </c>
      <c r="M27" s="241">
        <f>SUM(M23:M26)</f>
        <v>8200000</v>
      </c>
      <c r="N27" s="242">
        <f>SUM(N23:N26)</f>
        <v>8000000</v>
      </c>
      <c r="Q27"/>
      <c r="R27"/>
    </row>
    <row r="28" spans="1:20" ht="20" thickBot="1" x14ac:dyDescent="0.25">
      <c r="A28" s="243" t="s">
        <v>78</v>
      </c>
      <c r="B28" s="226"/>
      <c r="C28" s="227"/>
      <c r="D28" s="227"/>
      <c r="E28" s="244">
        <f>E17+E22+E27</f>
        <v>40970000</v>
      </c>
      <c r="F28" s="244">
        <f>F17+F22+F27</f>
        <v>56150000</v>
      </c>
      <c r="G28" s="244">
        <f>G17+G22+G27</f>
        <v>52930100</v>
      </c>
      <c r="H28" s="244"/>
      <c r="I28" s="244">
        <f t="shared" ref="I28:N28" si="24">I17+I22+I27</f>
        <v>36845000</v>
      </c>
      <c r="J28" s="244">
        <f t="shared" si="24"/>
        <v>35235698</v>
      </c>
      <c r="K28" s="244">
        <f t="shared" si="24"/>
        <v>10900000</v>
      </c>
      <c r="L28" s="244">
        <f t="shared" si="24"/>
        <v>3100000</v>
      </c>
      <c r="M28" s="244">
        <f t="shared" si="24"/>
        <v>33745000</v>
      </c>
      <c r="N28" s="229">
        <f t="shared" si="24"/>
        <v>32135698</v>
      </c>
      <c r="Q28"/>
      <c r="R28"/>
    </row>
    <row r="29" spans="1:20" ht="17" thickBot="1" x14ac:dyDescent="0.25">
      <c r="Q29"/>
      <c r="R29"/>
    </row>
    <row r="30" spans="1:20" x14ac:dyDescent="0.2">
      <c r="G30" s="263" t="s">
        <v>90</v>
      </c>
      <c r="H30" s="264"/>
      <c r="J30" s="263" t="s">
        <v>107</v>
      </c>
      <c r="K30" s="264"/>
      <c r="M30" s="263" t="s">
        <v>100</v>
      </c>
      <c r="N30" s="264"/>
      <c r="P30" s="263" t="s">
        <v>107</v>
      </c>
      <c r="Q30" s="264"/>
      <c r="R30"/>
      <c r="S30" s="263" t="s">
        <v>100</v>
      </c>
      <c r="T30" s="264"/>
    </row>
    <row r="31" spans="1:20" x14ac:dyDescent="0.2">
      <c r="G31" s="53" t="s">
        <v>89</v>
      </c>
      <c r="H31" s="48">
        <v>80000</v>
      </c>
      <c r="J31" s="53" t="s">
        <v>89</v>
      </c>
      <c r="K31" s="48">
        <v>100000</v>
      </c>
      <c r="M31" s="53" t="s">
        <v>113</v>
      </c>
      <c r="N31" s="48">
        <v>300000</v>
      </c>
      <c r="P31" s="53" t="s">
        <v>89</v>
      </c>
      <c r="Q31" s="48">
        <v>100000</v>
      </c>
      <c r="R31"/>
      <c r="S31" s="53" t="s">
        <v>113</v>
      </c>
      <c r="T31" s="48">
        <v>300000</v>
      </c>
    </row>
    <row r="32" spans="1:20" x14ac:dyDescent="0.2">
      <c r="G32" s="53"/>
      <c r="H32" s="48"/>
      <c r="J32" s="53" t="s">
        <v>108</v>
      </c>
      <c r="K32" s="48">
        <v>5000000</v>
      </c>
      <c r="M32" s="53" t="s">
        <v>114</v>
      </c>
      <c r="N32" s="48">
        <v>200000</v>
      </c>
      <c r="P32" s="53" t="s">
        <v>108</v>
      </c>
      <c r="Q32" s="48">
        <v>5000000</v>
      </c>
      <c r="R32"/>
      <c r="S32" s="53" t="s">
        <v>114</v>
      </c>
      <c r="T32" s="48">
        <v>200000</v>
      </c>
    </row>
    <row r="33" spans="1:20" x14ac:dyDescent="0.2">
      <c r="G33" s="53" t="s">
        <v>82</v>
      </c>
      <c r="H33" s="48">
        <v>1940000</v>
      </c>
      <c r="J33" s="53" t="s">
        <v>82</v>
      </c>
      <c r="K33" s="48">
        <v>2000000</v>
      </c>
      <c r="M33" s="53" t="s">
        <v>117</v>
      </c>
      <c r="N33" s="48">
        <v>120000</v>
      </c>
      <c r="P33" s="53" t="s">
        <v>82</v>
      </c>
      <c r="Q33" s="48">
        <v>2000000</v>
      </c>
      <c r="R33"/>
      <c r="S33" s="53" t="s">
        <v>117</v>
      </c>
      <c r="T33" s="48">
        <v>120000</v>
      </c>
    </row>
    <row r="34" spans="1:20" x14ac:dyDescent="0.2">
      <c r="G34" s="53" t="s">
        <v>83</v>
      </c>
      <c r="H34" s="48">
        <v>1870000</v>
      </c>
      <c r="J34" s="53" t="s">
        <v>106</v>
      </c>
      <c r="K34" s="48">
        <v>1250000</v>
      </c>
      <c r="M34" s="53"/>
      <c r="N34" s="48"/>
      <c r="P34" s="53" t="s">
        <v>106</v>
      </c>
      <c r="Q34" s="48">
        <v>1250000</v>
      </c>
      <c r="R34"/>
      <c r="S34" s="53"/>
      <c r="T34" s="48"/>
    </row>
    <row r="35" spans="1:20" x14ac:dyDescent="0.2">
      <c r="A35"/>
      <c r="G35" s="53" t="s">
        <v>71</v>
      </c>
      <c r="H35" s="48">
        <v>1540000</v>
      </c>
      <c r="J35" s="53" t="s">
        <v>71</v>
      </c>
      <c r="K35" s="48">
        <v>1250000</v>
      </c>
      <c r="M35" s="53"/>
      <c r="N35" s="48"/>
      <c r="P35" s="53" t="s">
        <v>71</v>
      </c>
      <c r="Q35" s="48">
        <v>1250000</v>
      </c>
      <c r="R35"/>
      <c r="S35" s="53"/>
      <c r="T35" s="48"/>
    </row>
    <row r="36" spans="1:20" x14ac:dyDescent="0.2">
      <c r="G36" s="53" t="s">
        <v>85</v>
      </c>
      <c r="H36" s="48">
        <v>300000</v>
      </c>
      <c r="J36" s="53"/>
      <c r="K36" s="48"/>
      <c r="L36" s="2"/>
      <c r="M36" s="53"/>
      <c r="N36" s="48"/>
      <c r="P36" s="53"/>
      <c r="Q36" s="48"/>
      <c r="S36" s="53"/>
      <c r="T36" s="48"/>
    </row>
    <row r="37" spans="1:20" x14ac:dyDescent="0.2">
      <c r="G37" s="61" t="s">
        <v>74</v>
      </c>
      <c r="H37" s="62">
        <f>SUM(H31:H36)</f>
        <v>5730000</v>
      </c>
      <c r="J37" s="61" t="s">
        <v>74</v>
      </c>
      <c r="K37" s="62">
        <f>SUM(K31:K36)</f>
        <v>9600000</v>
      </c>
      <c r="L37" s="2"/>
      <c r="M37" s="61" t="s">
        <v>74</v>
      </c>
      <c r="N37" s="62">
        <f>SUM(N31:N36)</f>
        <v>620000</v>
      </c>
      <c r="P37" s="61" t="s">
        <v>74</v>
      </c>
      <c r="Q37" s="62">
        <f>SUM(Q31:Q36)</f>
        <v>9600000</v>
      </c>
      <c r="S37" s="61" t="s">
        <v>74</v>
      </c>
      <c r="T37" s="62">
        <f>SUM(T31:T36)</f>
        <v>620000</v>
      </c>
    </row>
    <row r="38" spans="1:20" x14ac:dyDescent="0.2">
      <c r="G38" s="265" t="s">
        <v>84</v>
      </c>
      <c r="H38" s="266"/>
      <c r="J38" s="265" t="s">
        <v>109</v>
      </c>
      <c r="K38" s="266"/>
      <c r="L38" s="2"/>
      <c r="M38" s="265" t="s">
        <v>111</v>
      </c>
      <c r="N38" s="266"/>
      <c r="P38" s="265" t="s">
        <v>109</v>
      </c>
      <c r="Q38" s="266"/>
      <c r="S38" s="265" t="s">
        <v>111</v>
      </c>
      <c r="T38" s="266"/>
    </row>
    <row r="39" spans="1:20" x14ac:dyDescent="0.2">
      <c r="G39" s="53" t="s">
        <v>66</v>
      </c>
      <c r="H39" s="48">
        <v>1500000</v>
      </c>
      <c r="J39" s="53" t="s">
        <v>110</v>
      </c>
      <c r="K39" s="48">
        <v>2750000</v>
      </c>
      <c r="L39" s="2"/>
      <c r="M39" s="53" t="s">
        <v>71</v>
      </c>
      <c r="N39" s="48">
        <v>850000</v>
      </c>
      <c r="P39" s="53" t="s">
        <v>110</v>
      </c>
      <c r="Q39" s="48">
        <v>2750000</v>
      </c>
      <c r="S39" s="53" t="s">
        <v>71</v>
      </c>
      <c r="T39" s="48">
        <v>850000</v>
      </c>
    </row>
    <row r="40" spans="1:20" x14ac:dyDescent="0.2">
      <c r="G40" s="53" t="s">
        <v>86</v>
      </c>
      <c r="H40" s="48">
        <v>1500000</v>
      </c>
      <c r="J40" s="53" t="s">
        <v>30</v>
      </c>
      <c r="K40" s="48">
        <v>2650000</v>
      </c>
      <c r="L40" s="2"/>
      <c r="M40" s="53" t="s">
        <v>112</v>
      </c>
      <c r="N40" s="48">
        <v>200000</v>
      </c>
      <c r="P40" s="53" t="s">
        <v>30</v>
      </c>
      <c r="Q40" s="48">
        <v>2650000</v>
      </c>
      <c r="S40" s="53" t="s">
        <v>112</v>
      </c>
      <c r="T40" s="48">
        <v>200000</v>
      </c>
    </row>
    <row r="41" spans="1:20" x14ac:dyDescent="0.2">
      <c r="G41" s="53" t="s">
        <v>87</v>
      </c>
      <c r="H41" s="48">
        <v>1500000</v>
      </c>
      <c r="J41" s="53"/>
      <c r="K41" s="48"/>
      <c r="L41" s="2"/>
      <c r="M41" s="53"/>
      <c r="N41" s="48"/>
      <c r="P41" s="53"/>
      <c r="Q41" s="48"/>
      <c r="S41" s="53"/>
      <c r="T41" s="48"/>
    </row>
    <row r="42" spans="1:20" x14ac:dyDescent="0.2">
      <c r="G42" s="53" t="s">
        <v>88</v>
      </c>
      <c r="H42" s="48">
        <v>1500000</v>
      </c>
      <c r="J42" s="53"/>
      <c r="K42" s="48"/>
      <c r="L42" s="2"/>
      <c r="M42" s="53"/>
      <c r="N42" s="48"/>
      <c r="P42" s="53"/>
      <c r="Q42" s="48"/>
      <c r="S42" s="53"/>
      <c r="T42" s="48"/>
    </row>
    <row r="43" spans="1:20" ht="17" thickBot="1" x14ac:dyDescent="0.25">
      <c r="G43" s="56" t="s">
        <v>74</v>
      </c>
      <c r="H43" s="59">
        <f>SUM(H39:H42)</f>
        <v>6000000</v>
      </c>
      <c r="J43" s="56"/>
      <c r="K43" s="59"/>
      <c r="L43" s="2"/>
      <c r="M43" s="56"/>
      <c r="N43" s="59"/>
      <c r="P43" s="56"/>
      <c r="Q43" s="59"/>
      <c r="S43" s="56"/>
      <c r="T43" s="59"/>
    </row>
  </sheetData>
  <mergeCells count="16">
    <mergeCell ref="A8:A9"/>
    <mergeCell ref="A2:A7"/>
    <mergeCell ref="P30:Q30"/>
    <mergeCell ref="P38:Q38"/>
    <mergeCell ref="S30:T30"/>
    <mergeCell ref="S38:T38"/>
    <mergeCell ref="J30:K30"/>
    <mergeCell ref="M30:N30"/>
    <mergeCell ref="J38:K38"/>
    <mergeCell ref="M38:N38"/>
    <mergeCell ref="G38:H38"/>
    <mergeCell ref="G30:H30"/>
    <mergeCell ref="A10:A16"/>
    <mergeCell ref="A23:A26"/>
    <mergeCell ref="A18:A21"/>
    <mergeCell ref="C19:C2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BB50-0917-744A-9DD0-D779F983F915}">
  <dimension ref="A1:K26"/>
  <sheetViews>
    <sheetView rightToLeft="1" zoomScaleNormal="100" workbookViewId="0">
      <selection activeCell="E26" sqref="E26"/>
    </sheetView>
  </sheetViews>
  <sheetFormatPr baseColWidth="10" defaultColWidth="10.5703125" defaultRowHeight="16" x14ac:dyDescent="0.2"/>
  <cols>
    <col min="1" max="1" width="26.42578125" bestFit="1" customWidth="1"/>
    <col min="2" max="2" width="10.140625" bestFit="1" customWidth="1"/>
    <col min="3" max="3" width="22.5703125" bestFit="1" customWidth="1"/>
    <col min="4" max="4" width="10.140625" bestFit="1" customWidth="1"/>
    <col min="5" max="5" width="18.28515625" bestFit="1" customWidth="1"/>
    <col min="6" max="6" width="18.85546875" bestFit="1" customWidth="1"/>
    <col min="7" max="10" width="18.28515625" bestFit="1" customWidth="1"/>
    <col min="11" max="11" width="16.140625" bestFit="1" customWidth="1"/>
  </cols>
  <sheetData>
    <row r="1" spans="1:11" ht="45" thickBot="1" x14ac:dyDescent="0.25">
      <c r="A1" s="83"/>
      <c r="B1" s="84"/>
      <c r="C1" s="83" t="s">
        <v>39</v>
      </c>
      <c r="D1" s="85" t="s">
        <v>40</v>
      </c>
      <c r="E1" s="83" t="s">
        <v>41</v>
      </c>
      <c r="F1" s="85" t="s">
        <v>42</v>
      </c>
      <c r="G1" s="85" t="s">
        <v>43</v>
      </c>
      <c r="H1" s="83" t="s">
        <v>44</v>
      </c>
      <c r="I1" s="83" t="s">
        <v>45</v>
      </c>
      <c r="J1" s="93" t="s">
        <v>97</v>
      </c>
      <c r="K1" s="94" t="s">
        <v>98</v>
      </c>
    </row>
    <row r="2" spans="1:11" ht="39" customHeight="1" thickBot="1" x14ac:dyDescent="0.25">
      <c r="A2" s="273" t="s">
        <v>46</v>
      </c>
      <c r="B2" s="46" t="s">
        <v>14</v>
      </c>
      <c r="C2" s="79" t="s">
        <v>47</v>
      </c>
      <c r="D2" s="80">
        <v>30000</v>
      </c>
      <c r="E2" s="81">
        <f>D2</f>
        <v>30000</v>
      </c>
      <c r="F2" s="80">
        <v>50000</v>
      </c>
      <c r="G2" s="80">
        <v>0</v>
      </c>
      <c r="H2" s="82">
        <v>0</v>
      </c>
      <c r="I2" s="86">
        <f>G2-H2</f>
        <v>0</v>
      </c>
      <c r="J2" s="96">
        <f>D2-F2</f>
        <v>-20000</v>
      </c>
      <c r="K2" s="97"/>
    </row>
    <row r="3" spans="1:11" ht="18" thickBot="1" x14ac:dyDescent="0.25">
      <c r="A3" s="273"/>
      <c r="B3" s="63" t="s">
        <v>33</v>
      </c>
      <c r="C3" s="64"/>
      <c r="D3" s="65">
        <f>SUM(D2)</f>
        <v>30000</v>
      </c>
      <c r="E3" s="44">
        <f>E2</f>
        <v>30000</v>
      </c>
      <c r="F3" s="65">
        <f>SUM(F2)</f>
        <v>50000</v>
      </c>
      <c r="G3" s="65"/>
      <c r="H3" s="65"/>
      <c r="I3" s="87"/>
      <c r="J3" s="100">
        <f>D3-F3</f>
        <v>-20000</v>
      </c>
      <c r="K3" s="101"/>
    </row>
    <row r="4" spans="1:11" x14ac:dyDescent="0.2">
      <c r="A4" s="273"/>
      <c r="B4" s="284" t="s">
        <v>15</v>
      </c>
      <c r="C4" s="26" t="s">
        <v>48</v>
      </c>
      <c r="D4" s="27">
        <v>8000</v>
      </c>
      <c r="E4" s="282">
        <f>D4+D5</f>
        <v>8000</v>
      </c>
      <c r="F4" s="27">
        <v>0</v>
      </c>
      <c r="G4" s="27">
        <v>0</v>
      </c>
      <c r="H4" s="28">
        <v>0</v>
      </c>
      <c r="I4" s="88">
        <f t="shared" ref="I4:I10" si="0">G4-H4</f>
        <v>0</v>
      </c>
      <c r="J4" s="98"/>
      <c r="K4" s="16"/>
    </row>
    <row r="5" spans="1:11" ht="17" thickBot="1" x14ac:dyDescent="0.25">
      <c r="A5" s="273"/>
      <c r="B5" s="286"/>
      <c r="C5" s="5" t="s">
        <v>49</v>
      </c>
      <c r="D5" s="34">
        <v>0</v>
      </c>
      <c r="E5" s="283"/>
      <c r="F5" s="34">
        <v>0</v>
      </c>
      <c r="G5" s="34">
        <v>0</v>
      </c>
      <c r="H5" s="35">
        <v>0</v>
      </c>
      <c r="I5" s="89">
        <f t="shared" si="0"/>
        <v>0</v>
      </c>
      <c r="J5" s="95"/>
      <c r="K5" s="13"/>
    </row>
    <row r="6" spans="1:11" ht="18" thickBot="1" x14ac:dyDescent="0.25">
      <c r="A6" s="273"/>
      <c r="B6" s="33" t="s">
        <v>50</v>
      </c>
      <c r="C6" s="22" t="s">
        <v>51</v>
      </c>
      <c r="D6" s="23">
        <v>4500</v>
      </c>
      <c r="E6" s="24">
        <v>4300</v>
      </c>
      <c r="F6" s="23">
        <v>0</v>
      </c>
      <c r="G6" s="23">
        <v>0</v>
      </c>
      <c r="H6" s="25">
        <v>0</v>
      </c>
      <c r="I6" s="78">
        <f t="shared" si="0"/>
        <v>0</v>
      </c>
      <c r="J6" s="95"/>
      <c r="K6" s="13"/>
    </row>
    <row r="7" spans="1:11" x14ac:dyDescent="0.2">
      <c r="A7" s="273"/>
      <c r="B7" s="284" t="s">
        <v>17</v>
      </c>
      <c r="C7" s="26" t="s">
        <v>52</v>
      </c>
      <c r="D7" s="27">
        <v>3200</v>
      </c>
      <c r="E7" s="282">
        <v>14100</v>
      </c>
      <c r="F7" s="27">
        <v>0</v>
      </c>
      <c r="G7" s="27">
        <v>0</v>
      </c>
      <c r="H7" s="28">
        <v>0</v>
      </c>
      <c r="I7" s="88">
        <f t="shared" si="0"/>
        <v>0</v>
      </c>
      <c r="J7" s="95"/>
      <c r="K7" s="13"/>
    </row>
    <row r="8" spans="1:11" x14ac:dyDescent="0.2">
      <c r="A8" s="273"/>
      <c r="B8" s="285"/>
      <c r="C8" s="4" t="s">
        <v>53</v>
      </c>
      <c r="D8" s="17">
        <v>5250</v>
      </c>
      <c r="E8" s="287"/>
      <c r="F8" s="17">
        <v>0</v>
      </c>
      <c r="G8" s="17">
        <v>0</v>
      </c>
      <c r="H8" s="18">
        <v>0</v>
      </c>
      <c r="I8" s="90">
        <f t="shared" si="0"/>
        <v>0</v>
      </c>
      <c r="J8" s="95"/>
      <c r="K8" s="13"/>
    </row>
    <row r="9" spans="1:11" x14ac:dyDescent="0.2">
      <c r="A9" s="273"/>
      <c r="B9" s="285"/>
      <c r="C9" s="4" t="s">
        <v>54</v>
      </c>
      <c r="D9" s="17">
        <v>0</v>
      </c>
      <c r="E9" s="287"/>
      <c r="F9" s="17">
        <v>0</v>
      </c>
      <c r="G9" s="17">
        <v>0</v>
      </c>
      <c r="H9" s="18">
        <v>0</v>
      </c>
      <c r="I9" s="90">
        <f t="shared" si="0"/>
        <v>0</v>
      </c>
      <c r="J9" s="95"/>
      <c r="K9" s="13"/>
    </row>
    <row r="10" spans="1:11" ht="17" thickBot="1" x14ac:dyDescent="0.25">
      <c r="A10" s="273"/>
      <c r="B10" s="286"/>
      <c r="C10" s="5" t="s">
        <v>55</v>
      </c>
      <c r="D10" s="34">
        <v>8000</v>
      </c>
      <c r="E10" s="283"/>
      <c r="F10" s="34">
        <v>0</v>
      </c>
      <c r="G10" s="34">
        <v>0</v>
      </c>
      <c r="H10" s="35">
        <v>0</v>
      </c>
      <c r="I10" s="89">
        <f t="shared" si="0"/>
        <v>0</v>
      </c>
      <c r="J10" s="95"/>
      <c r="K10" s="13"/>
    </row>
    <row r="11" spans="1:11" x14ac:dyDescent="0.2">
      <c r="A11" s="273"/>
      <c r="B11" s="288" t="s">
        <v>18</v>
      </c>
      <c r="C11" s="26" t="s">
        <v>56</v>
      </c>
      <c r="D11" s="27">
        <v>10600</v>
      </c>
      <c r="E11" s="282">
        <v>24000</v>
      </c>
      <c r="F11" s="27">
        <v>0</v>
      </c>
      <c r="G11" s="27">
        <v>20000</v>
      </c>
      <c r="H11" s="36">
        <v>8000</v>
      </c>
      <c r="I11" s="88">
        <f>G11-H11</f>
        <v>12000</v>
      </c>
      <c r="J11" s="95"/>
      <c r="K11" s="13"/>
    </row>
    <row r="12" spans="1:11" ht="17" thickBot="1" x14ac:dyDescent="0.25">
      <c r="A12" s="273"/>
      <c r="B12" s="289"/>
      <c r="C12" s="5" t="s">
        <v>57</v>
      </c>
      <c r="D12" s="34">
        <v>14000</v>
      </c>
      <c r="E12" s="283"/>
      <c r="F12" s="34">
        <v>0</v>
      </c>
      <c r="G12" s="34">
        <v>0</v>
      </c>
      <c r="H12" s="35"/>
      <c r="I12" s="89">
        <f t="shared" ref="I12:I21" si="1">G12-H12</f>
        <v>0</v>
      </c>
      <c r="J12" s="95"/>
      <c r="K12" s="13"/>
    </row>
    <row r="13" spans="1:11" ht="18" thickBot="1" x14ac:dyDescent="0.25">
      <c r="A13" s="273"/>
      <c r="B13" s="67" t="s">
        <v>91</v>
      </c>
      <c r="C13" s="68" t="s">
        <v>92</v>
      </c>
      <c r="D13" s="23">
        <v>10500</v>
      </c>
      <c r="E13" s="69">
        <v>10000</v>
      </c>
      <c r="F13" s="23">
        <v>5000</v>
      </c>
      <c r="G13" s="23">
        <v>0</v>
      </c>
      <c r="H13" s="25">
        <v>0</v>
      </c>
      <c r="I13" s="78">
        <f t="shared" si="1"/>
        <v>0</v>
      </c>
      <c r="J13" s="99"/>
      <c r="K13" s="15"/>
    </row>
    <row r="14" spans="1:11" ht="18" thickBot="1" x14ac:dyDescent="0.25">
      <c r="A14" s="273"/>
      <c r="B14" s="70" t="s">
        <v>33</v>
      </c>
      <c r="C14" s="71"/>
      <c r="D14" s="65">
        <f>SUM(D4:D13)</f>
        <v>64050</v>
      </c>
      <c r="E14" s="72">
        <f>D14</f>
        <v>64050</v>
      </c>
      <c r="F14" s="65">
        <f>SUM(F4:F13)</f>
        <v>5000</v>
      </c>
      <c r="G14" s="65">
        <f>SUM(G4:G13)</f>
        <v>20000</v>
      </c>
      <c r="H14" s="65"/>
      <c r="I14" s="87"/>
      <c r="J14" s="100">
        <f>D14-F14-G14</f>
        <v>39050</v>
      </c>
      <c r="K14" s="101"/>
    </row>
    <row r="15" spans="1:11" ht="37" customHeight="1" thickBot="1" x14ac:dyDescent="0.25">
      <c r="A15" s="113" t="s">
        <v>19</v>
      </c>
      <c r="B15" s="6" t="s">
        <v>19</v>
      </c>
      <c r="C15" s="77" t="s">
        <v>58</v>
      </c>
      <c r="D15" s="19">
        <v>-20000</v>
      </c>
      <c r="E15" s="20">
        <f>D15</f>
        <v>-20000</v>
      </c>
      <c r="F15" s="19">
        <v>0</v>
      </c>
      <c r="G15" s="19">
        <v>-20000</v>
      </c>
      <c r="H15" s="21">
        <v>-20000</v>
      </c>
      <c r="I15" s="91">
        <v>0</v>
      </c>
      <c r="J15" s="98"/>
      <c r="K15" s="16"/>
    </row>
    <row r="16" spans="1:11" ht="18" thickBot="1" x14ac:dyDescent="0.25">
      <c r="A16" s="272" t="s">
        <v>59</v>
      </c>
      <c r="B16" s="45" t="s">
        <v>21</v>
      </c>
      <c r="C16" s="37" t="s">
        <v>60</v>
      </c>
      <c r="D16" s="73">
        <v>108000</v>
      </c>
      <c r="E16" s="279">
        <f>(D16+D17+D18+D19+D20+D21+D22)*0.25</f>
        <v>60625</v>
      </c>
      <c r="F16" s="74">
        <v>0</v>
      </c>
      <c r="G16" s="74">
        <v>50000</v>
      </c>
      <c r="H16" s="75">
        <v>31000</v>
      </c>
      <c r="I16" s="92">
        <f t="shared" si="1"/>
        <v>19000</v>
      </c>
      <c r="J16" s="95"/>
      <c r="K16" s="13"/>
    </row>
    <row r="17" spans="1:11" ht="16" customHeight="1" x14ac:dyDescent="0.2">
      <c r="A17" s="272"/>
      <c r="B17" s="276" t="s">
        <v>22</v>
      </c>
      <c r="C17" s="38" t="s">
        <v>61</v>
      </c>
      <c r="D17" s="41">
        <v>30500</v>
      </c>
      <c r="E17" s="280"/>
      <c r="F17" s="17">
        <v>0</v>
      </c>
      <c r="G17" s="17">
        <v>0</v>
      </c>
      <c r="H17" s="18">
        <v>0</v>
      </c>
      <c r="I17" s="90">
        <f t="shared" si="1"/>
        <v>0</v>
      </c>
      <c r="J17" s="95"/>
      <c r="K17" s="13"/>
    </row>
    <row r="18" spans="1:11" x14ac:dyDescent="0.2">
      <c r="A18" s="272"/>
      <c r="B18" s="277"/>
      <c r="C18" s="39" t="s">
        <v>118</v>
      </c>
      <c r="D18" s="41">
        <v>24000</v>
      </c>
      <c r="E18" s="280"/>
      <c r="F18" s="17">
        <v>0</v>
      </c>
      <c r="G18" s="17">
        <v>0</v>
      </c>
      <c r="H18" s="18">
        <v>0</v>
      </c>
      <c r="I18" s="90">
        <f t="shared" si="1"/>
        <v>0</v>
      </c>
      <c r="J18" s="95"/>
      <c r="K18" s="13"/>
    </row>
    <row r="19" spans="1:11" x14ac:dyDescent="0.2">
      <c r="A19" s="272"/>
      <c r="B19" s="277"/>
      <c r="C19" s="39" t="s">
        <v>76</v>
      </c>
      <c r="D19" s="41">
        <v>20000</v>
      </c>
      <c r="E19" s="280"/>
      <c r="F19" s="17">
        <v>0</v>
      </c>
      <c r="G19" s="17">
        <v>0</v>
      </c>
      <c r="H19" s="18">
        <v>0</v>
      </c>
      <c r="I19" s="90">
        <f t="shared" si="1"/>
        <v>0</v>
      </c>
      <c r="J19" s="95"/>
      <c r="K19" s="13"/>
    </row>
    <row r="20" spans="1:11" x14ac:dyDescent="0.2">
      <c r="A20" s="272"/>
      <c r="B20" s="277"/>
      <c r="C20" s="39" t="s">
        <v>119</v>
      </c>
      <c r="D20" s="41">
        <v>45000</v>
      </c>
      <c r="E20" s="280"/>
      <c r="F20" s="17">
        <v>0</v>
      </c>
      <c r="G20" s="17">
        <v>0</v>
      </c>
      <c r="H20" s="18">
        <v>0</v>
      </c>
      <c r="I20" s="90">
        <f t="shared" si="1"/>
        <v>0</v>
      </c>
      <c r="J20" s="95"/>
      <c r="K20" s="13"/>
    </row>
    <row r="21" spans="1:11" x14ac:dyDescent="0.2">
      <c r="A21" s="272"/>
      <c r="B21" s="277"/>
      <c r="C21" s="40" t="s">
        <v>77</v>
      </c>
      <c r="D21" s="42">
        <v>45000</v>
      </c>
      <c r="E21" s="280"/>
      <c r="F21" s="34">
        <v>0</v>
      </c>
      <c r="G21" s="34">
        <v>0</v>
      </c>
      <c r="H21" s="35">
        <v>0</v>
      </c>
      <c r="I21" s="89">
        <f t="shared" si="1"/>
        <v>0</v>
      </c>
      <c r="J21" s="99"/>
      <c r="K21" s="15"/>
    </row>
    <row r="22" spans="1:11" ht="21" thickBot="1" x14ac:dyDescent="0.25">
      <c r="A22" s="114"/>
      <c r="B22" s="278"/>
      <c r="C22" s="124" t="s">
        <v>84</v>
      </c>
      <c r="D22" s="125">
        <v>-30000</v>
      </c>
      <c r="E22" s="281"/>
      <c r="F22" s="80"/>
      <c r="G22" s="80"/>
      <c r="H22" s="82"/>
      <c r="I22" s="86"/>
      <c r="J22" s="126"/>
      <c r="K22" s="127"/>
    </row>
    <row r="23" spans="1:11" ht="21" thickBot="1" x14ac:dyDescent="0.25">
      <c r="A23" s="114"/>
      <c r="B23" s="102" t="s">
        <v>33</v>
      </c>
      <c r="C23" s="103"/>
      <c r="D23" s="104">
        <f>SUM(D16:D22)</f>
        <v>242500</v>
      </c>
      <c r="E23" s="72">
        <f>E16-G16</f>
        <v>10625</v>
      </c>
      <c r="F23" s="65"/>
      <c r="G23" s="65"/>
      <c r="H23" s="65"/>
      <c r="I23" s="87"/>
      <c r="J23" s="105">
        <f>E23-F23</f>
        <v>10625</v>
      </c>
      <c r="K23" s="106"/>
    </row>
    <row r="24" spans="1:11" ht="17" x14ac:dyDescent="0.2">
      <c r="A24" s="274" t="s">
        <v>94</v>
      </c>
      <c r="B24" s="107" t="s">
        <v>32</v>
      </c>
      <c r="C24" s="111" t="s">
        <v>120</v>
      </c>
      <c r="D24" s="109">
        <v>22500</v>
      </c>
      <c r="E24" s="29">
        <v>10500</v>
      </c>
      <c r="F24" s="27">
        <v>0</v>
      </c>
      <c r="G24" s="27">
        <v>4500</v>
      </c>
      <c r="H24" s="28">
        <v>1500</v>
      </c>
      <c r="I24" s="29">
        <f>G24-H24</f>
        <v>3000</v>
      </c>
      <c r="J24" s="12"/>
      <c r="K24" s="66">
        <v>2500</v>
      </c>
    </row>
    <row r="25" spans="1:11" ht="18" thickBot="1" x14ac:dyDescent="0.25">
      <c r="A25" s="275"/>
      <c r="B25" s="108" t="s">
        <v>95</v>
      </c>
      <c r="C25" s="112" t="s">
        <v>96</v>
      </c>
      <c r="D25" s="110">
        <v>14000</v>
      </c>
      <c r="E25" s="32">
        <v>7000</v>
      </c>
      <c r="F25" s="30"/>
      <c r="G25" s="30">
        <v>2000</v>
      </c>
      <c r="H25" s="31"/>
      <c r="I25" s="14"/>
      <c r="J25" s="14"/>
      <c r="K25" s="76">
        <v>5000</v>
      </c>
    </row>
    <row r="26" spans="1:11" s="115" customFormat="1" ht="48" customHeight="1" thickBot="1" x14ac:dyDescent="0.25">
      <c r="A26" s="116" t="s">
        <v>33</v>
      </c>
      <c r="B26" s="117"/>
      <c r="C26" s="117"/>
      <c r="D26" s="118"/>
      <c r="E26" s="119">
        <f>E3+E14+E23</f>
        <v>104675</v>
      </c>
      <c r="F26" s="120">
        <v>55000</v>
      </c>
      <c r="G26" s="121">
        <v>18500</v>
      </c>
      <c r="H26" s="121">
        <f>SUM(H2:H21)</f>
        <v>19000</v>
      </c>
      <c r="I26" s="118">
        <f>SUM(I2:I21)</f>
        <v>31000</v>
      </c>
      <c r="J26" s="122">
        <f>J3+J14+J23</f>
        <v>29675</v>
      </c>
      <c r="K26" s="123">
        <f>SUM(K24:K25)</f>
        <v>7500</v>
      </c>
    </row>
  </sheetData>
  <mergeCells count="11">
    <mergeCell ref="A16:A21"/>
    <mergeCell ref="A2:A14"/>
    <mergeCell ref="A24:A25"/>
    <mergeCell ref="B17:B22"/>
    <mergeCell ref="E16:E22"/>
    <mergeCell ref="E11:E12"/>
    <mergeCell ref="E4:E5"/>
    <mergeCell ref="B7:B10"/>
    <mergeCell ref="E7:E10"/>
    <mergeCell ref="B4:B5"/>
    <mergeCell ref="B11:B1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נכסים מאוחד (2)</vt:lpstr>
      <vt:lpstr>נכסים מאוחד</vt:lpstr>
      <vt:lpstr>נכסים קרן טל</vt:lpstr>
      <vt:lpstr>נכסים יורם וטליה פרטי</vt:lpstr>
      <vt:lpstr>הכנסות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peleg tal</dc:creator>
  <cp:lastModifiedBy>Peleg Tal</cp:lastModifiedBy>
  <cp:lastPrinted>2025-09-14T17:26:14Z</cp:lastPrinted>
  <dcterms:created xsi:type="dcterms:W3CDTF">2022-12-27T11:33:35Z</dcterms:created>
  <dcterms:modified xsi:type="dcterms:W3CDTF">2025-09-14T17:27:56Z</dcterms:modified>
</cp:coreProperties>
</file>